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gi" sheetId="1" r:id="rId4"/>
  </sheets>
  <definedNames/>
  <calcPr/>
  <extLst>
    <ext uri="GoogleSheetsCustomDataVersion2">
      <go:sheetsCustomData xmlns:go="http://customooxmlschemas.google.com/" r:id="rId5" roundtripDataChecksum="NENC7R6PZqpSjZ5YeVn3cfAGFubI/W2RekN5z9+xhsk="/>
    </ext>
  </extLst>
</workbook>
</file>

<file path=xl/sharedStrings.xml><?xml version="1.0" encoding="utf-8"?>
<sst xmlns="http://schemas.openxmlformats.org/spreadsheetml/2006/main" count="367" uniqueCount="215">
  <si>
    <t>relative_path</t>
  </si>
  <si>
    <t>filename</t>
  </si>
  <si>
    <t>brand</t>
  </si>
  <si>
    <t>campagna</t>
  </si>
  <si>
    <t>anno</t>
  </si>
  <si>
    <t>data di lancio</t>
  </si>
  <si>
    <t>file_type</t>
  </si>
  <si>
    <t>openfake_p_fake</t>
  </si>
  <si>
    <t>omniaid_dino_v2_ai_probability</t>
  </si>
  <si>
    <t>dda_ai_probability</t>
  </si>
  <si>
    <t>aegis_ai_probability</t>
  </si>
  <si>
    <t>average_3_models</t>
  </si>
  <si>
    <t>average_available_models</t>
  </si>
  <si>
    <t>url</t>
  </si>
  <si>
    <t>likes</t>
  </si>
  <si>
    <t>comments</t>
  </si>
  <si>
    <t>repost</t>
  </si>
  <si>
    <t>sharing</t>
  </si>
  <si>
    <t>Fatturato in euro</t>
  </si>
  <si>
    <t>numero_dipendenti</t>
  </si>
  <si>
    <t>CocaCola\Feel It All_FIFA World Cup 26\683502930_18594582994036124_6045381341767718284_n,jpg</t>
  </si>
  <si>
    <t>683502930_18594582994036124_6045381341767718284_n,jpg</t>
  </si>
  <si>
    <t>Feel It All_FIFA World Cup</t>
  </si>
  <si>
    <t>image</t>
  </si>
  <si>
    <t>https://www.instagram.com/p/DYXd7Bpj6Ji/?img_index=6</t>
  </si>
  <si>
    <t>40500000000</t>
  </si>
  <si>
    <t>CocaCola\Feel It All_FIFA World Cup 26\706549654_18585168292038713_4014643692428931898_n,jpg</t>
  </si>
  <si>
    <t>706549654_18585168292038713_4014643692428931898_n,jpg</t>
  </si>
  <si>
    <t>https://www.instagram.com/p/DYvAe0ilZjR/?img_index=2</t>
  </si>
  <si>
    <t>CocaCola\Feel It All_FIFA World Cup 26\AQNoKgrERjjJvm1xMBVndjQ7o79viZNrOzSU9zEhjx81Z_n9_Etd_gLJQxKGydFC1NtV18fukEWahCaUCUMyy12itFDR29-hnmY0rBo,mp4</t>
  </si>
  <si>
    <t>AQNoKgrERjjJvm1xMBVndjQ7o79viZNrOzSU9zEhjx81Z_n9_Etd_gLJQxKGydFC1NtV18fukEWahCaUCUMyy12itFDR29-hnmY0rBo,mp4</t>
  </si>
  <si>
    <t>video</t>
  </si>
  <si>
    <t>https://www.instagram.com/reels/DW7RXiHiS1D/</t>
  </si>
  <si>
    <t>CocaCola\Feel It All_FIFA World Cup 26\AQOJ3Nc2CfZZIwI6TuejOQwOZLLjY2C3HxbIuqnv5-hn2aQyP6QMfPD0R2rDg2cR5yyui1i60N5RxLR23jZSphs_I_aRXPC4csm0z2A,mp4</t>
  </si>
  <si>
    <t>AQOJ3Nc2CfZZIwI6TuejOQwOZLLjY2C3HxbIuqnv5-hn2aQyP6QMfPD0R2rDg2cR5yyui1i60N5RxLR23jZSphs_I_aRXPC4csm0z2A,mp4</t>
  </si>
  <si>
    <t>https://www.instagram.com/reels/DUBHHXPAtRr/</t>
  </si>
  <si>
    <t>CocaCola\Share a Coke_2025\AQMAIxvs4hmtPdUDRnPetncdjyW7asbOz1NVcu2e8x4Z7VYF3r0B4XxfBPX5pu4Mo73O0Ny06IqUdkXFAzZWXjXFC5J-mR9sLwAfvMM,mp4</t>
  </si>
  <si>
    <t>AQMAIxvs4hmtPdUDRnPetncdjyW7asbOz1NVcu2e8x4Z7VYF3r0B4XxfBPX5pu4Mo73O0Ny06IqUdkXFAzZWXjXFC5J-mR9sLwAfvMM,mp4</t>
  </si>
  <si>
    <t>Share a Coke</t>
  </si>
  <si>
    <t>https://www.instagram.com/reels/DKgvpVLPAIH/</t>
  </si>
  <si>
    <t>?</t>
  </si>
  <si>
    <t>CocaCola\Share a Coke_2025\AQME4VxStKUo-tirGECORlUVv29VF9HLnHT8f_amexf104m3aR3ds1H79sHr6c9gnXy0dfaTRnMyRumr1eYgo8WnTrB2LllJOGIi7Ik,mp4</t>
  </si>
  <si>
    <t>AQME4VxStKUo-tirGECORlUVv29VF9HLnHT8f_amexf104m3aR3ds1H79sHr6c9gnXy0dfaTRnMyRumr1eYgo8WnTrB2LllJOGIi7Ik,mp4</t>
  </si>
  <si>
    <t>https://www.instagram.com/reels/DNTWyNZNz2g/</t>
  </si>
  <si>
    <t>CocaCola\Share a Coke_2025\AQMGNGIASkqricZy9xrb2lUuzhB1R-YG1EIF7md5ltiYI6Fr881EYNvcuR_XxJulczFVo7WR846EgUFvd0WPypzbYSzFPdojrifqcgI,mp4</t>
  </si>
  <si>
    <t>AQMGNGIASkqricZy9xrb2lUuzhB1R-YG1EIF7md5ltiYI6Fr881EYNvcuR_XxJulczFVo7WR846EgUFvd0WPypzbYSzFPdojrifqcgI,mp4</t>
  </si>
  <si>
    <t>https://www.instagram.com/reels/DP3fLT1EfpM/</t>
  </si>
  <si>
    <t>Heinz\Breakfast Ketchup\504579642_18514422790062760_8992130710772223481_n,jpg</t>
  </si>
  <si>
    <t>504579642_18514422790062760_8992130710772223481_n,jpg</t>
  </si>
  <si>
    <t>Breakfast Ketchup</t>
  </si>
  <si>
    <t>https://www.instagram.com/p/DKxI4CUMEu7/?utm_source=ig_web_copy_link&amp;igsh=NTc4MTIwNjQ2YQ%3D%3D</t>
  </si>
  <si>
    <t>22200000000</t>
  </si>
  <si>
    <t>Heinz\Breakfast Ketchup\505468325_18514422754062760_6774553463652577308_n,jpg</t>
  </si>
  <si>
    <t>505468325_18514422754062760_6774553463652577308_n,jpg</t>
  </si>
  <si>
    <t>Heinz\Breakfast Ketchup\505471664_18514422769062760_1344140594033269992_n,jpg</t>
  </si>
  <si>
    <t>505471664_18514422769062760_1344140594033269992_n,jpg</t>
  </si>
  <si>
    <t>Heinz\Breakfast Ketchup\511557334_18516134890008833_1095659751894750722_n,jpg</t>
  </si>
  <si>
    <t>511557334_18516134890008833_1095659751894750722_n,jpg</t>
  </si>
  <si>
    <t>https://www.instagram.com/p/DLSa5drpzXY/?utm_source=ig_web_copy_link&amp;igsh=NTc4MTIwNjQ2YQ%3D%3D</t>
  </si>
  <si>
    <t>Heinz\Breakfast Ketchup\517361519_18519048475008833_6967262680549221016_n,jpg</t>
  </si>
  <si>
    <t>517361519_18519048475008833_6967262680549221016_n,jpg</t>
  </si>
  <si>
    <t>https://www.instagram.com/p/DL7nlzURT1b/?utm_source=ig_web_copy_link&amp;igsh=NTc4MTIwNjQ2YQ%3D%3D</t>
  </si>
  <si>
    <t>Heinz\Breakfast Ketchup\545329806_18530634295008833_1935030575642827865_n,jpg</t>
  </si>
  <si>
    <t>545329806_18530634295008833_1935030575642827865_n,jpg</t>
  </si>
  <si>
    <t>https://www.instagram.com/p/DOgssh0ie0s/?utm_source=ig_web_copy_link&amp;igsh=NTc4MTIwNjQ2YQ%3D%3D</t>
  </si>
  <si>
    <t>Heinz\The Heinz Dipper\632531346_18397196641149974_9121910189754244522_n,jpg</t>
  </si>
  <si>
    <t>632531346_18397196641149974_9121910189754244522_n,jpg</t>
  </si>
  <si>
    <t>The Heinz Dipper</t>
  </si>
  <si>
    <t>https://www.instagram.com/p/C-sUBhFJIf4/?utm_source=ig_web_copy_link&amp;igsh=NTc4MTIwNjQ2YQ%3D%3D</t>
  </si>
  <si>
    <t>Heinz\The Heinz Dipper\AQOl8Y_YQU7AncvBaN7XxA0bNILkZRSB4KuO83q95889wWjW588Cs34Dl3KtND_mhwBYamv6haVLHBTe-ZfYJM6FJB1f4wi_9T1-5KQ,mp4</t>
  </si>
  <si>
    <t>AQOl8Y_YQU7AncvBaN7XxA0bNILkZRSB4KuO83q95889wWjW588Cs34Dl3KtND_mhwBYamv6haVLHBTe-ZfYJM6FJB1f4wi_9T1-5KQ,mp4</t>
  </si>
  <si>
    <t>https://www.instagram.com/reels/DOYnry7gBjV/</t>
  </si>
  <si>
    <t>Heinz\The Heinz Dipper\AQOsnzTK0Nwugz1UW2VmkUoXFpG7EhfugRM2fCAt9XEGXsH2xzIaK4HcMti3V27gUDHVWsuFkBXS0Bg5wXt7b-hohZ2-9LgZK5GaYYY,mp4</t>
  </si>
  <si>
    <t>AQOsnzTK0Nwugz1UW2VmkUoXFpG7EhfugRM2fCAt9XEGXsH2xzIaK4HcMti3V27gUDHVWsuFkBXS0Bg5wXt7b-hohZ2-9LgZK5GaYYY,mp4</t>
  </si>
  <si>
    <t>https://www.instagram.com/reels/DGEOHymp49-/</t>
  </si>
  <si>
    <t>Ikea\IKEA PS 2026\670297070_18579107197004759_1817266612027204402_n,jpg</t>
  </si>
  <si>
    <t>670297070_18579107197004759_1817266612027204402_n,jpg</t>
  </si>
  <si>
    <t>IKEA PS 2026</t>
  </si>
  <si>
    <t>https://www.instagram.com/p/DXMXIwmlg8j/?utm_source=ig_web_copy_link&amp;igsh=MzRlODBiNWFlZA%3D%3D</t>
  </si>
  <si>
    <t>44600000000</t>
  </si>
  <si>
    <t>Ikea\IKEA PS 2026\AQOaUZ7AjpEu-d_HmJNpsSxh20MlbHIDmMQt86ToBfVxxH9HXD3lrM7D7jr0qSavcjggOHdzXnABTGCPN_KtRCmE2EVKuxMWnhcvBUc,mp4</t>
  </si>
  <si>
    <t>AQOaUZ7AjpEu-d_HmJNpsSxh20MlbHIDmMQt86ToBfVxxH9HXD3lrM7D7jr0qSavcjggOHdzXnABTGCPN_KtRCmE2EVKuxMWnhcvBUc,mp4</t>
  </si>
  <si>
    <t>https://www.instagram.com/reels/DYU3ffKjFZH/</t>
  </si>
  <si>
    <t>Ikea\STOCKHOLM 2025\488605036_18497422570004759_4547891774933092496_n,jpg</t>
  </si>
  <si>
    <t>488605036_18497422570004759_4547891774933092496_n,jpg</t>
  </si>
  <si>
    <t>STOCKHOLM 2025</t>
  </si>
  <si>
    <t>https://www.instagram.com/p/DILnPGBMpd_/?utm_source=ig_web_copy_link&amp;igsh=NTc4MTIwNjQ2YQ%3D%3D</t>
  </si>
  <si>
    <t>Ikea\STOCKHOLM 2025\488617075_18497422606004759_8815441958927377163_n,jpg</t>
  </si>
  <si>
    <t>488617075_18497422606004759_8815441958927377163_n,jpg</t>
  </si>
  <si>
    <t>Ikea\STOCKHOLM 2025\489526572_18497422567004759_996928306050956388_n,jpg</t>
  </si>
  <si>
    <t>489526572_18497422567004759_996928306050956388_n,jpg</t>
  </si>
  <si>
    <t>Ikea\STOCKHOLM 2025\489895488_18497422588004759_7990488094068773649_n,jpg</t>
  </si>
  <si>
    <t>489895488_18497422588004759_7990488094068773649_n,jpg</t>
  </si>
  <si>
    <t>Lego\LEGO Star Wars_Rebuild the Galaxy\553298502_18534775846007445_7209171706132662411_n,jpg</t>
  </si>
  <si>
    <t>553298502_18534775846007445_7209171706132662411_n,jpg</t>
  </si>
  <si>
    <t>LEGO Star Wars_Rebuild the Galaxy</t>
  </si>
  <si>
    <t>https://www.instagram.com/p/DO7_J2_jHCP/?utm_source=ig_web_copy_link&amp;igsh=NTc4MTIwNjQ2YQ%3D%3D&amp;img_index=3</t>
  </si>
  <si>
    <t>11200000000</t>
  </si>
  <si>
    <t>Lego\LEGO Star Wars_Rebuild the Galaxy\553359116_18534775858007445_3963845837875994122_n,jpg</t>
  </si>
  <si>
    <t>553359116_18534775858007445_3963845837875994122_n,jpg</t>
  </si>
  <si>
    <t>https://www.instagram.com/p/DO7_J2_jHCP/?utm_source=ig_web_copy_link&amp;igsh=NTc4MTIwNjQ2YQ%3D%3D&amp;img_index=4</t>
  </si>
  <si>
    <t>Lego\LEGO Star Wars_Rebuild the Galaxy\553594495_18534775879007445_6569951721497621935_n,jpg</t>
  </si>
  <si>
    <t>553594495_18534775879007445_6569951721497621935_n,jpg</t>
  </si>
  <si>
    <t>https://www.instagram.com/p/DO7_J2_jHCP/?utm_source=ig_web_copy_link&amp;igsh=NTc4MTIwNjQ2YQ%3D%3D&amp;img_index=5</t>
  </si>
  <si>
    <t>Lego\LEGO Star Wars_Rebuild the Galaxy\656900916_18145787440488346_5298728883521471922_n,jpg</t>
  </si>
  <si>
    <t>656900916_18145787440488346_5298728883521471922_n,jpg</t>
  </si>
  <si>
    <t>https://www.instagram.com/p/C6oqVqtv9Y5/?utm_source=ig_web_copy_link&amp;igsh=NTc4MTIwNjQ2YQ%3D%3D&amp;img_index=2</t>
  </si>
  <si>
    <t>Lego\LEGO Star Wars_Rebuild the Galaxy\663165893_18406252120177122_1897346209655382849_n,jpg</t>
  </si>
  <si>
    <t>663165893_18406252120177122_1897346209655382849_n,jpg</t>
  </si>
  <si>
    <t>https://www.instagram.com/p/C6oqVqtv9Y5/?utm_source=ig_web_copy_link&amp;igsh=NTc4MTIwNjQ2YQ%3D%3D&amp;img_index=3</t>
  </si>
  <si>
    <t>Lego\LEGO Star Wars_Rebuild the Galaxy\AQNe-CNok1fHVugpZUn9Y5jT7gySATl-ia9wHTFZujA_tDpcpMVZr48M8tlWXaAKSImaiPmTD5eEWPWMx9F0VMLVsJuhWX86jOAyrBo,mp4</t>
  </si>
  <si>
    <t>AQNe-CNok1fHVugpZUn9Y5jT7gySATl-ia9wHTFZujA_tDpcpMVZr48M8tlWXaAKSImaiPmTD5eEWPWMx9F0VMLVsJuhWX86jOAyrBo,mp4</t>
  </si>
  <si>
    <t>https://www.instagram.com/reels/DOoPin0ic4w/</t>
  </si>
  <si>
    <t>Lego\LEGO Star Wars_Rebuild the Galaxy\AQPrF7Gnvq0euYbl8Tc3ZTCWA48J6XYnHXJvARS5IZo3482MNAeh6DpRg-TRetEIsMDW-lJ2BDk8xQFSDHd5VuXCp9cKGFWikygM15M,mp4</t>
  </si>
  <si>
    <t>AQPrF7Gnvq0euYbl8Tc3ZTCWA48J6XYnHXJvARS5IZo3482MNAeh6DpRg-TRetEIsMDW-lJ2BDk8xQFSDHd5VuXCp9cKGFWikygM15M,mp4</t>
  </si>
  <si>
    <t>https://www.instagram.com/reels/C91276_ILmv/.</t>
  </si>
  <si>
    <t>Lego\She Built That\539440422_18517155814031872_8421133080443916248_n,jpg</t>
  </si>
  <si>
    <t>539440422_18517155814031872_8421133080443916248_n,jpg</t>
  </si>
  <si>
    <t>https://www.instagram.com/p/DNyR3Q7Zv-d/?utm_source=ig_web_copy_link&amp;igsh=NTc4MTIwNjQ2YQ%3D%3D&amp;img_index=4</t>
  </si>
  <si>
    <t>Lego\She Built That\539477767_18517155799031872_661699341946288492_n,jpg</t>
  </si>
  <si>
    <t>539477767_18517155799031872_661699341946288492_n,jpg</t>
  </si>
  <si>
    <t>https://www.instagram.com/p/DNyR3Q7Zv-d/?utm_source=ig_web_copy_link&amp;igsh=NTc4MTIwNjQ2YQ%3D%3D&amp;img_index=5</t>
  </si>
  <si>
    <t>Lego\She Built That\655293800_18093735701173008_3612415444538677994_n,jpg</t>
  </si>
  <si>
    <t>655293800_18093735701173008_3612415444538677994_n,jpg</t>
  </si>
  <si>
    <t>https://www.instagram.com/p/DWR3DPIjqAu/?utm_source=ig_web_copy_link&amp;igsh=NTc4MTIwNjQ2YQ%3D%3D&amp;img_index=2</t>
  </si>
  <si>
    <t>Lego\She Built That\656281428_18093735710173008_5865692622547012567_n,jpg</t>
  </si>
  <si>
    <t>656281428_18093735710173008_5865692622547012567_n,jpg</t>
  </si>
  <si>
    <t>https://www.instagram.com/p/DWR3DPIjqAu/?utm_source=ig_web_copy_link&amp;igsh=NTc4MTIwNjQ2YQ%3D%3D&amp;img_index=3</t>
  </si>
  <si>
    <t>Lego\She Built That\AQP-fg2eiZcsMhwoYPMm7d-WsVBl3PgzS-U8iC6DFmJPolUABjTeboNuQY--mV4oLX455Gc__MANcof7U_bHowlrHdbwysQGUeZaYlA,mp4</t>
  </si>
  <si>
    <t>AQP-fg2eiZcsMhwoYPMm7d-WsVBl3PgzS-U8iC6DFmJPolUABjTeboNuQY--mV4oLX455Gc__MANcof7U_bHowlrHdbwysQGUeZaYlA,mp4</t>
  </si>
  <si>
    <t>https://www.instagram.com/reels/DLUx81ZO0WY/</t>
  </si>
  <si>
    <t>Lego\She Built That\AQP1khP8sChSAhFgWYJVVFqOGdsdmDR5AY9BTn8R4RCWloDuoslu-M7AXcwQgUvvw1C59sQYJuYpJegIsR03n7UwCD5SoTdxchHJnV0,mp4</t>
  </si>
  <si>
    <t>AQP1khP8sChSAhFgWYJVVFqOGdsdmDR5AY9BTn8R4RCWloDuoslu-M7AXcwQgUvvw1C59sQYJuYpJegIsR03n7UwCD5SoTdxchHJnV0,mp4</t>
  </si>
  <si>
    <t>https://www.instagram.com/reels/DKhmsChq0nP/</t>
  </si>
  <si>
    <t>Patagonia\Human Powered_Worn Wear Snow Tour\AQMEnSuvzdmORTtRDpPF5Vhrue_dgfDy8Z7pvOBgEQ17-YPjDANYtYFWzCt4J39DOeYNjlQKkJyBSn5wnudfWEBW3Mb81KoTdBFxfcU,mp4</t>
  </si>
  <si>
    <t>AQMEnSuvzdmORTtRDpPF5Vhrue_dgfDy8Z7pvOBgEQ17-YPjDANYtYFWzCt4J39DOeYNjlQKkJyBSn5wnudfWEBW3Mb81KoTdBFxfcU,mp4</t>
  </si>
  <si>
    <t>https://www.instagram.com/reels/DDFgnzav_6j/</t>
  </si>
  <si>
    <t>1350000000</t>
  </si>
  <si>
    <t>Patagonia\Human Powered_Worn Wear Snow Tour\AQNMhNA3EG6hBY6piUIlpM4EpkmXuHGYRCRdLxw6Bwi0uvOBndzfQkHqj9ojoO9xctLR7JHTf3HzWa89c7zftedykAHwLU-dAtmkwsE,mp4</t>
  </si>
  <si>
    <t>AQNMhNA3EG6hBY6piUIlpM4EpkmXuHGYRCRdLxw6Bwi0uvOBndzfQkHqj9ojoO9xctLR7JHTf3HzWa89c7zftedykAHwLU-dAtmkwsE,mp4</t>
  </si>
  <si>
    <t>https://www.instagram.com/reels/DC4p8e-yoF8/</t>
  </si>
  <si>
    <t>Patagonia\Made Without PFAS_PFAS Free\AQNNeMdHvd5tXzx1gui_BWj58dRzfVflWSslyjYmjw6ZKoLZdRbkHePaOh9HP6IayiRxUTCuT1UhZ-Ca-t2LYOJblbuSM2082sKJNjU,mp4</t>
  </si>
  <si>
    <t>AQNNeMdHvd5tXzx1gui_BWj58dRzfVflWSslyjYmjw6ZKoLZdRbkHePaOh9HP6IayiRxUTCuT1UhZ-Ca-t2LYOJblbuSM2082sKJNjU,mp4</t>
  </si>
  <si>
    <t>https://www.instagram.com/reels/DHWdnJHSeiL/</t>
  </si>
  <si>
    <t>Patagonia\Made Without PFAS_PFAS Free\AQO-YLgd7f-tW1ye1s5IzK1n_IuQHbBLxQ1GP8Zx5pXiiEFu8mZ4yW7cUUvem6u-gc-tY_Yf9R1M8Xa_v0rAnMKh2MCA5XiVGsueyV0,mp4</t>
  </si>
  <si>
    <t>AQO-YLgd7f-tW1ye1s5IzK1n_IuQHbBLxQ1GP8Zx5pXiiEFu8mZ4yW7cUUvem6u-gc-tY_Yf9R1M8Xa_v0rAnMKh2MCA5XiVGsueyV0,mp4</t>
  </si>
  <si>
    <t>https://www.instagram.com/reels/DH89o-QSl7p/</t>
  </si>
  <si>
    <t>Patagonia\Made Without PFAS_PFAS Free\AQPhISYKBLrE_md_z_AiOcX0-vIELZSg01xMq3XITyy4nyl3WEHmjiYqo-ilnut-xGylESFNJ2r5gvyHQ9xoG4rYAxd4ydPidtZt514,mp4</t>
  </si>
  <si>
    <t>AQPhISYKBLrE_md_z_AiOcX0-vIELZSg01xMq3XITyy4nyl3WEHmjiYqo-ilnut-xGylESFNJ2r5gvyHQ9xoG4rYAxd4ydPidtZt514,mp4</t>
  </si>
  <si>
    <t>https://www.instagram.com/reels/DHG_sJhSUvq/</t>
  </si>
  <si>
    <t>YSL Beauty\Libre Berry Crush\615878880_18579020470043196_7815591381163793919_n,jpg</t>
  </si>
  <si>
    <t>615878880_18579020470043196_7815591381163793919_n,jpg</t>
  </si>
  <si>
    <t>https://www.instagram.com/p/DTiQA6iDAuC/?utm_source=ig_web_copy_link&amp;igsh=NTc4MTIwNjQ2YQ%3D%3D&amp;img_index=1</t>
  </si>
  <si>
    <t>3000000000</t>
  </si>
  <si>
    <t>YSL Beauty\Libre Berry Crush\616199053_18579020509043196_8879519188639662755_n,jpg</t>
  </si>
  <si>
    <t>616199053_18579020509043196_8879519188639662755_n,jpg</t>
  </si>
  <si>
    <t>YSL Beauty\Libre Berry Crush\616476281_18579020389043196_6005470914529361567_n,jpg</t>
  </si>
  <si>
    <t>616476281_18579020389043196_6005470914529361567_n,jpg</t>
  </si>
  <si>
    <t>YSL Beauty\Libre Berry Crush\616891476_18579020500043196_5828007620547989337_n,jpg</t>
  </si>
  <si>
    <t>616891476_18579020500043196_5828007620547989337_n,jpg</t>
  </si>
  <si>
    <t>YSL Beauty\Libre Berry Crush\653331015_18093070283034360_2706884151023036553_n,jpg</t>
  </si>
  <si>
    <t>653331015_18093070283034360_2706884151023036553_n,jpg</t>
  </si>
  <si>
    <t>https://www.instagram.com/p/C9Crr48olTM/?utm_source=ig_web_copy_link&amp;igsh=NTc4MTIwNjQ2YQ%3D%3D</t>
  </si>
  <si>
    <t>YSL Beauty\Libre Berry Crush\AQOGXvZqHoqfVJpGXJxnxkh7lPvOznZ8XprEJYh29ruNVqVIyJQGVrjcz5xlCrsuXcpbDrphczPJUDJitpT3-hp_ckmCEG20LuIus_M,mp4</t>
  </si>
  <si>
    <t>AQOGXvZqHoqfVJpGXJxnxkh7lPvOznZ8XprEJYh29ruNVqVIyJQGVrjcz5xlCrsuXcpbDrphczPJUDJitpT3-hp_ckmCEG20LuIus_M,mp4</t>
  </si>
  <si>
    <t>https://www.instagram.com/reels/DOgMpIniCve/</t>
  </si>
  <si>
    <t>YSL Beauty\Libre Berry Crush\AQPCz7sFp5SdpZcyRPCA59hLUbsSFLUE7zS9kJetZY6RrNOTYq2fWn6D54Y4VY3k5a_I2ykM18w1heQRE0YcGRQaelTMkDP1MNGPXz4,mp4</t>
  </si>
  <si>
    <t>AQPCz7sFp5SdpZcyRPCA59hLUbsSFLUE7zS9kJetZY6RrNOTYq2fWn6D54Y4VY3k5a_I2ykM18w1heQRE0YcGRQaelTMkDP1MNGPXz4,mp4</t>
  </si>
  <si>
    <t>YSL Beauty\Libre Berry Crush\AQPvmqdTpNc8AhMmP5LfcRNW2o2Y0TuIc0eWoaEp3OjPHt-6d7i48V7qrv2HnKVAo6ql2fDCg2VlGX_vZ3W8BOujxkmcowjeu4lICfo,mp4</t>
  </si>
  <si>
    <t>AQPvmqdTpNc8AhMmP5LfcRNW2o2Y0TuIc0eWoaEp3OjPHt-6d7i48V7qrv2HnKVAo6ql2fDCg2VlGX_vZ3W8BOujxkmcowjeu4lICfo,mp4</t>
  </si>
  <si>
    <t>https://www.instagram.com/reels/DX73pYpMi44/</t>
  </si>
  <si>
    <t>YSL Beauty\MYSLF L’Absolu\527464349_18527726263014314_1309898702737001023_n,jpg</t>
  </si>
  <si>
    <t>527464349_18527726263014314_1309898702737001023_n,jpg</t>
  </si>
  <si>
    <t>https://www.instagram.com/p/DM8GMzBozQ9/?utm_source=ig_web_copy_link&amp;igsh=NTc4MTIwNjQ2YQ%3D%3D&amp;img_index=1</t>
  </si>
  <si>
    <t>YSL Beauty\MYSLF L’Absolu\AQNjfJmONhIQ1mpShj-UrWaIQFHKGVYlP_8DAKT-n4Z2cl5pcTWBNAGferlH1_1etUjAUCjWAiS9u8vlKwqiPzHwQkDQNSA28dir3Tc,mp4</t>
  </si>
  <si>
    <t>AQNjfJmONhIQ1mpShj-UrWaIQFHKGVYlP_8DAKT-n4Z2cl5pcTWBNAGferlH1_1etUjAUCjWAiS9u8vlKwqiPzHwQkDQNSA28dir3Tc,mp4</t>
  </si>
  <si>
    <t>https://www.instagram.com/reels/DMvOQ5wIWfW/</t>
  </si>
  <si>
    <t>YSL Beauty\MYSLF L’Absolu\AQNwsgndnMIz59AKpfXisNKGiPsANa5kT22x14ZL__hTQCRSGfqXqMFKjpIE1sgFWr4EG1enxGPCOErfN0MNCztW7ojosMU2MzCJJiw,mp4</t>
  </si>
  <si>
    <t>AQNwsgndnMIz59AKpfXisNKGiPsANa5kT22x14ZL__hTQCRSGfqXqMFKjpIE1sgFWr4EG1enxGPCOErfN0MNCztW7ojosMU2MzCJJiw,mp4</t>
  </si>
  <si>
    <t>https://www.instagram.com/reels/DMSk929oBLE/</t>
  </si>
  <si>
    <t>YSL Beauty\MYSLF L’Absolu\AQPPvWKIGBIRg8BLezALABvnGo4EAgooQzhUX7kLiakaH7K55w3MeyhC0tdz1N2n9-gVXqEwF7W9tNCrJOlv3LJ_HrO4hkQiE6KEyKI,mp4</t>
  </si>
  <si>
    <t>AQPPvWKIGBIRg8BLezALABvnGo4EAgooQzhUX7kLiakaH7K55w3MeyhC0tdz1N2n9-gVXqEwF7W9tNCrJOlv3LJ_HrO4hkQiE6KEyKI,mp4</t>
  </si>
  <si>
    <t>https://www.instagram.com/reels/DOD_e1eCJ2x/</t>
  </si>
  <si>
    <t>Zalando\Lily Collins\264dfe04-6d5b-4e9d-9576-0f1ff43f3435,jpeg</t>
  </si>
  <si>
    <t>264dfe04-6d5b-4e9d-9576-0f1ff43f3435,jpeg</t>
  </si>
  <si>
    <t>https://www.instagram.com/p/DVtHQLtDMtN/?utm_source=ig_web_copy_link&amp;igsh=MzRlODBiNWFlZA==</t>
  </si>
  <si>
    <t>12300000000</t>
  </si>
  <si>
    <t>Zalando\Lily Collins\66634e5f-6609-4db9-adcd-23c7efc7d462,jpeg</t>
  </si>
  <si>
    <t>66634e5f-6609-4db9-adcd-23c7efc7d462,jpeg</t>
  </si>
  <si>
    <t>Zalando\Lily Collins\8011b707-8e25-4890-b1e9-dcd49a4a2d8b,jpeg</t>
  </si>
  <si>
    <t>8011b707-8e25-4890-b1e9-dcd49a4a2d8b,jpeg</t>
  </si>
  <si>
    <t>Zalando\Lily Collins\8c1a93f7-4fa2-4189-878f-e24d5e17561b,jpeg</t>
  </si>
  <si>
    <t>8c1a93f7-4fa2-4189-878f-e24d5e17561b,jpeg</t>
  </si>
  <si>
    <t>Zalando\Lily Collins\a0672063-17c8-497f-ab56-80a71de5c0d6,jpeg</t>
  </si>
  <si>
    <t>a0672063-17c8-497f-ab56-80a71de5c0d6,jpeg</t>
  </si>
  <si>
    <t>Zalando\Lily Collins\f79855c8-afa2-4d1c-90b5-ddff3189f7b9,jpeg</t>
  </si>
  <si>
    <t>f79855c8-afa2-4d1c-90b5-ddff3189f7b9,jpeg</t>
  </si>
  <si>
    <t>Zalando\What Do I Wear_SS25\485875421_18513171526056615_3209765837090926152_n,jpg</t>
  </si>
  <si>
    <t>485875421_18513171526056615_3209765837090926152_n,jpg</t>
  </si>
  <si>
    <t>https://www.instagram.com/p/DHk609BM9D7/?img_index=6</t>
  </si>
  <si>
    <t>Zalando\What Do I Wear_SS25\485973085_18513171508056615_3961343790200915040_n,jpg</t>
  </si>
  <si>
    <t>485973085_18513171508056615_3961343790200915040_n,jpg</t>
  </si>
  <si>
    <t>https://www.instagram.com/p/DHk609BM9D7/?img_index=4</t>
  </si>
  <si>
    <t>Zalando\What Do I Wear_SS25\486261295_18513171490056615_6725496115704669361_n,jpg</t>
  </si>
  <si>
    <t>486261295_18513171490056615_6725496115704669361_n,jpg</t>
  </si>
  <si>
    <t>https://www.instagram.com/p/DHk609BM9D7/?img_index=2</t>
  </si>
  <si>
    <t>Zalando\What Do I Wear_SS25\486564567_18513171481056615_3334327181142807084_n,jpg</t>
  </si>
  <si>
    <t>486564567_18513171481056615_3334327181142807084_n,jpg</t>
  </si>
  <si>
    <t>https://www.instagram.com/p/DHk609BM9D7/?img_index=1</t>
  </si>
  <si>
    <t>Zalando\What Do I Wear_SS25\AQNS53Hsdqwfaf7sFwtJgmhLeKobzFMqPMcgayCYC8GdeBcNwECKvu5b9DtyZ36Pyitp-UFP2v9uF1qCbeJHrDajFLOxxCZU3a5Hv-o,mp4</t>
  </si>
  <si>
    <t>AQNS53Hsdqwfaf7sFwtJgmhLeKobzFMqPMcgayCYC8GdeBcNwECKvu5b9DtyZ36Pyitp-UFP2v9uF1qCbeJHrDajFLOxxCZU3a5Hv-o,mp4</t>
  </si>
  <si>
    <t>https://www.instagram.com/reels/DHlpGKFCT6f/</t>
  </si>
  <si>
    <t>Zalando\What Do I Wear_SS25\AQPXWMRgQfiYx_vgy-CX64DP6oQIw7a_eNR_Z1NjtU8gbpASKfkkSu4t6I5xokBfQ9HcWeu0VOEBfUS7hgYdlbNrNzKtoo7qpVP6wX0,mp4</t>
  </si>
  <si>
    <t>AQPXWMRgQfiYx_vgy-CX64DP6oQIw7a_eNR_Z1NjtU8gbpASKfkkSu4t6I5xokBfQ9HcWeu0VOEBfUS7hgYdlbNrNzKtoo7qpVP6wX0,mp4</t>
  </si>
  <si>
    <t>https://www.instagram.com/reels/DHdX0kspVAK/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</si>
</sst>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1" numFmtId="3" xfId="0" applyFont="1" applyNumberFormat="1"/>
    <xf borderId="0" fillId="0" fontId="1" numFmtId="49" xfId="0" applyAlignment="1" applyFont="1" applyNumberForma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s/DHG_sJhSUvq/" TargetMode="External"/><Relationship Id="rId42" Type="http://schemas.openxmlformats.org/officeDocument/2006/relationships/hyperlink" Target="https://www.instagram.com/p/DTiQA6iDAuC/?utm_source=ig_web_copy_link&amp;igsh=NTc4MTIwNjQ2YQ%3D%3D&amp;img_index=1" TargetMode="External"/><Relationship Id="rId41" Type="http://schemas.openxmlformats.org/officeDocument/2006/relationships/hyperlink" Target="https://www.instagram.com/p/DTiQA6iDAuC/?utm_source=ig_web_copy_link&amp;igsh=NTc4MTIwNjQ2YQ%3D%3D&amp;img_index=1" TargetMode="External"/><Relationship Id="rId44" Type="http://schemas.openxmlformats.org/officeDocument/2006/relationships/hyperlink" Target="https://www.instagram.com/p/DTiQA6iDAuC/?utm_source=ig_web_copy_link&amp;igsh=NTc4MTIwNjQ2YQ%3D%3D&amp;img_index=1" TargetMode="External"/><Relationship Id="rId43" Type="http://schemas.openxmlformats.org/officeDocument/2006/relationships/hyperlink" Target="https://www.instagram.com/p/DTiQA6iDAuC/?utm_source=ig_web_copy_link&amp;igsh=NTc4MTIwNjQ2YQ%3D%3D&amp;img_index=1" TargetMode="External"/><Relationship Id="rId46" Type="http://schemas.openxmlformats.org/officeDocument/2006/relationships/hyperlink" Target="https://www.instagram.com/reels/DOgMpIniCve/" TargetMode="External"/><Relationship Id="rId45" Type="http://schemas.openxmlformats.org/officeDocument/2006/relationships/hyperlink" Target="https://www.instagram.com/p/C9Crr48olTM/?utm_source=ig_web_copy_link&amp;igsh=NTc4MTIwNjQ2YQ%3D%3D" TargetMode="External"/><Relationship Id="rId1" Type="http://schemas.openxmlformats.org/officeDocument/2006/relationships/hyperlink" Target="https://www.instagram.com/p/DYXd7Bpj6Ji/?img_index=6" TargetMode="External"/><Relationship Id="rId2" Type="http://schemas.openxmlformats.org/officeDocument/2006/relationships/hyperlink" Target="https://www.instagram.com/p/DYvAe0ilZjR/?img_index=2" TargetMode="External"/><Relationship Id="rId3" Type="http://schemas.openxmlformats.org/officeDocument/2006/relationships/hyperlink" Target="https://www.instagram.com/reels/DW7RXiHiS1D/" TargetMode="External"/><Relationship Id="rId4" Type="http://schemas.openxmlformats.org/officeDocument/2006/relationships/hyperlink" Target="https://www.instagram.com/reels/DUBHHXPAtRr/" TargetMode="External"/><Relationship Id="rId9" Type="http://schemas.openxmlformats.org/officeDocument/2006/relationships/hyperlink" Target="https://www.instagram.com/p/DKxI4CUMEu7/?utm_source=ig_web_copy_link&amp;igsh=NTc4MTIwNjQ2YQ%3D%3D" TargetMode="External"/><Relationship Id="rId48" Type="http://schemas.openxmlformats.org/officeDocument/2006/relationships/hyperlink" Target="https://www.instagram.com/reels/DX73pYpMi44/" TargetMode="External"/><Relationship Id="rId47" Type="http://schemas.openxmlformats.org/officeDocument/2006/relationships/hyperlink" Target="https://www.instagram.com/p/DTiQA6iDAuC/?utm_source=ig_web_copy_link&amp;igsh=NTc4MTIwNjQ2YQ%3D%3D&amp;img_index=1" TargetMode="External"/><Relationship Id="rId49" Type="http://schemas.openxmlformats.org/officeDocument/2006/relationships/hyperlink" Target="https://www.instagram.com/p/DM8GMzBozQ9/?utm_source=ig_web_copy_link&amp;igsh=NTc4MTIwNjQ2YQ%3D%3D&amp;img_index=1" TargetMode="External"/><Relationship Id="rId5" Type="http://schemas.openxmlformats.org/officeDocument/2006/relationships/hyperlink" Target="https://www.instagram.com/reels/DKgvpVLPAIH/" TargetMode="External"/><Relationship Id="rId6" Type="http://schemas.openxmlformats.org/officeDocument/2006/relationships/hyperlink" Target="https://www.instagram.com/reels/DNTWyNZNz2g/" TargetMode="External"/><Relationship Id="rId7" Type="http://schemas.openxmlformats.org/officeDocument/2006/relationships/hyperlink" Target="https://www.instagram.com/reels/DP3fLT1EfpM/" TargetMode="External"/><Relationship Id="rId8" Type="http://schemas.openxmlformats.org/officeDocument/2006/relationships/hyperlink" Target="https://www.instagram.com/p/DKxI4CUMEu7/?utm_source=ig_web_copy_link&amp;igsh=NTc4MTIwNjQ2YQ%3D%3D" TargetMode="External"/><Relationship Id="rId31" Type="http://schemas.openxmlformats.org/officeDocument/2006/relationships/hyperlink" Target="https://www.instagram.com/p/DNyR3Q7Zv-d/?utm_source=ig_web_copy_link&amp;igsh=NTc4MTIwNjQ2YQ%3D%3D&amp;img_index=5" TargetMode="External"/><Relationship Id="rId30" Type="http://schemas.openxmlformats.org/officeDocument/2006/relationships/hyperlink" Target="https://www.instagram.com/p/DNyR3Q7Zv-d/?utm_source=ig_web_copy_link&amp;igsh=NTc4MTIwNjQ2YQ%3D%3D&amp;img_index=4" TargetMode="External"/><Relationship Id="rId33" Type="http://schemas.openxmlformats.org/officeDocument/2006/relationships/hyperlink" Target="https://www.instagram.com/p/DWR3DPIjqAu/?utm_source=ig_web_copy_link&amp;igsh=NTc4MTIwNjQ2YQ%3D%3D&amp;img_index=3" TargetMode="External"/><Relationship Id="rId32" Type="http://schemas.openxmlformats.org/officeDocument/2006/relationships/hyperlink" Target="https://www.instagram.com/p/DWR3DPIjqAu/?utm_source=ig_web_copy_link&amp;igsh=NTc4MTIwNjQ2YQ%3D%3D&amp;img_index=2" TargetMode="External"/><Relationship Id="rId35" Type="http://schemas.openxmlformats.org/officeDocument/2006/relationships/hyperlink" Target="https://www.instagram.com/reels/DKhmsChq0nP/" TargetMode="External"/><Relationship Id="rId34" Type="http://schemas.openxmlformats.org/officeDocument/2006/relationships/hyperlink" Target="https://www.instagram.com/reels/DLUx81ZO0WY/" TargetMode="External"/><Relationship Id="rId37" Type="http://schemas.openxmlformats.org/officeDocument/2006/relationships/hyperlink" Target="https://www.instagram.com/reels/DC4p8e-yoF8/" TargetMode="External"/><Relationship Id="rId36" Type="http://schemas.openxmlformats.org/officeDocument/2006/relationships/hyperlink" Target="https://www.instagram.com/reels/DDFgnzav_6j/" TargetMode="External"/><Relationship Id="rId39" Type="http://schemas.openxmlformats.org/officeDocument/2006/relationships/hyperlink" Target="https://www.instagram.com/reels/DH89o-QSl7p/" TargetMode="External"/><Relationship Id="rId38" Type="http://schemas.openxmlformats.org/officeDocument/2006/relationships/hyperlink" Target="https://www.instagram.com/reels/DHWdnJHSeiL/" TargetMode="External"/><Relationship Id="rId62" Type="http://schemas.openxmlformats.org/officeDocument/2006/relationships/hyperlink" Target="https://www.instagram.com/p/DHk609BM9D7/?img_index=1" TargetMode="External"/><Relationship Id="rId61" Type="http://schemas.openxmlformats.org/officeDocument/2006/relationships/hyperlink" Target="https://www.instagram.com/p/DHk609BM9D7/?img_index=2" TargetMode="External"/><Relationship Id="rId20" Type="http://schemas.openxmlformats.org/officeDocument/2006/relationships/hyperlink" Target="https://www.instagram.com/p/DILnPGBMpd_/?utm_source=ig_web_copy_link&amp;igsh=NTc4MTIwNjQ2YQ%3D%3D" TargetMode="External"/><Relationship Id="rId64" Type="http://schemas.openxmlformats.org/officeDocument/2006/relationships/hyperlink" Target="https://www.instagram.com/reels/DHdX0kspVAK/" TargetMode="External"/><Relationship Id="rId63" Type="http://schemas.openxmlformats.org/officeDocument/2006/relationships/hyperlink" Target="https://www.instagram.com/reels/DHlpGKFCT6f/" TargetMode="External"/><Relationship Id="rId22" Type="http://schemas.openxmlformats.org/officeDocument/2006/relationships/hyperlink" Target="https://www.instagram.com/p/DILnPGBMpd_/?utm_source=ig_web_copy_link&amp;igsh=NTc4MTIwNjQ2YQ%3D%3D" TargetMode="External"/><Relationship Id="rId21" Type="http://schemas.openxmlformats.org/officeDocument/2006/relationships/hyperlink" Target="https://www.instagram.com/p/DILnPGBMpd_/?utm_source=ig_web_copy_link&amp;igsh=NTc4MTIwNjQ2YQ%3D%3D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www.instagram.com/p/DO7_J2_jHCP/?utm_source=ig_web_copy_link&amp;igsh=NTc4MTIwNjQ2YQ%3D%3D&amp;img_index=4" TargetMode="External"/><Relationship Id="rId23" Type="http://schemas.openxmlformats.org/officeDocument/2006/relationships/hyperlink" Target="https://www.instagram.com/p/DO7_J2_jHCP/?utm_source=ig_web_copy_link&amp;igsh=NTc4MTIwNjQ2YQ%3D%3D&amp;img_index=3" TargetMode="External"/><Relationship Id="rId60" Type="http://schemas.openxmlformats.org/officeDocument/2006/relationships/hyperlink" Target="https://www.instagram.com/p/DHk609BM9D7/?img_index=4" TargetMode="External"/><Relationship Id="rId26" Type="http://schemas.openxmlformats.org/officeDocument/2006/relationships/hyperlink" Target="https://www.instagram.com/p/C6oqVqtv9Y5/?utm_source=ig_web_copy_link&amp;igsh=NTc4MTIwNjQ2YQ%3D%3D&amp;img_index=2" TargetMode="External"/><Relationship Id="rId25" Type="http://schemas.openxmlformats.org/officeDocument/2006/relationships/hyperlink" Target="https://www.instagram.com/p/DO7_J2_jHCP/?utm_source=ig_web_copy_link&amp;igsh=NTc4MTIwNjQ2YQ%3D%3D&amp;img_index=5" TargetMode="External"/><Relationship Id="rId28" Type="http://schemas.openxmlformats.org/officeDocument/2006/relationships/hyperlink" Target="https://www.instagram.com/reels/DOoPin0ic4w/" TargetMode="External"/><Relationship Id="rId27" Type="http://schemas.openxmlformats.org/officeDocument/2006/relationships/hyperlink" Target="https://www.instagram.com/p/C6oqVqtv9Y5/?utm_source=ig_web_copy_link&amp;igsh=NTc4MTIwNjQ2YQ%3D%3D&amp;img_index=3" TargetMode="External"/><Relationship Id="rId29" Type="http://schemas.openxmlformats.org/officeDocument/2006/relationships/hyperlink" Target="https://www.instagram.com/reels/C91276_ILmv/" TargetMode="External"/><Relationship Id="rId51" Type="http://schemas.openxmlformats.org/officeDocument/2006/relationships/hyperlink" Target="https://www.instagram.com/reels/DMSk929oBLE/" TargetMode="External"/><Relationship Id="rId50" Type="http://schemas.openxmlformats.org/officeDocument/2006/relationships/hyperlink" Target="https://www.instagram.com/reels/DMvOQ5wIWfW/" TargetMode="External"/><Relationship Id="rId53" Type="http://schemas.openxmlformats.org/officeDocument/2006/relationships/hyperlink" Target="https://www.instagram.com/p/DVtHQLtDMtN/?utm_source=ig_web_copy_link&amp;igsh=MzRlODBiNWFlZA==" TargetMode="External"/><Relationship Id="rId52" Type="http://schemas.openxmlformats.org/officeDocument/2006/relationships/hyperlink" Target="https://www.instagram.com/reels/DOD_e1eCJ2x/" TargetMode="External"/><Relationship Id="rId11" Type="http://schemas.openxmlformats.org/officeDocument/2006/relationships/hyperlink" Target="https://www.instagram.com/p/DLSa5drpzXY/?utm_source=ig_web_copy_link&amp;igsh=NTc4MTIwNjQ2YQ%3D%3D" TargetMode="External"/><Relationship Id="rId55" Type="http://schemas.openxmlformats.org/officeDocument/2006/relationships/hyperlink" Target="https://www.instagram.com/p/DVtHQLtDMtN/?utm_source=ig_web_copy_link&amp;igsh=MzRlODBiNWFlZA==" TargetMode="External"/><Relationship Id="rId10" Type="http://schemas.openxmlformats.org/officeDocument/2006/relationships/hyperlink" Target="https://www.instagram.com/p/DKxI4CUMEu7/?utm_source=ig_web_copy_link&amp;igsh=NTc4MTIwNjQ2YQ%3D%3D" TargetMode="External"/><Relationship Id="rId54" Type="http://schemas.openxmlformats.org/officeDocument/2006/relationships/hyperlink" Target="https://www.instagram.com/p/DVtHQLtDMtN/?utm_source=ig_web_copy_link&amp;igsh=MzRlODBiNWFlZA==" TargetMode="External"/><Relationship Id="rId13" Type="http://schemas.openxmlformats.org/officeDocument/2006/relationships/hyperlink" Target="https://www.instagram.com/p/DOgssh0ie0s/?utm_source=ig_web_copy_link&amp;igsh=NTc4MTIwNjQ2YQ%3D%3D" TargetMode="External"/><Relationship Id="rId57" Type="http://schemas.openxmlformats.org/officeDocument/2006/relationships/hyperlink" Target="https://www.instagram.com/p/DVtHQLtDMtN/?utm_source=ig_web_copy_link&amp;igsh=MzRlODBiNWFlZA==" TargetMode="External"/><Relationship Id="rId12" Type="http://schemas.openxmlformats.org/officeDocument/2006/relationships/hyperlink" Target="https://www.instagram.com/p/DL7nlzURT1b/?utm_source=ig_web_copy_link&amp;igsh=NTc4MTIwNjQ2YQ%3D%3D" TargetMode="External"/><Relationship Id="rId56" Type="http://schemas.openxmlformats.org/officeDocument/2006/relationships/hyperlink" Target="https://www.instagram.com/p/DVtHQLtDMtN/?utm_source=ig_web_copy_link&amp;igsh=MzRlODBiNWFlZA==" TargetMode="External"/><Relationship Id="rId15" Type="http://schemas.openxmlformats.org/officeDocument/2006/relationships/hyperlink" Target="https://www.instagram.com/reels/DOYnry7gBjV/" TargetMode="External"/><Relationship Id="rId59" Type="http://schemas.openxmlformats.org/officeDocument/2006/relationships/hyperlink" Target="https://www.instagram.com/p/DHk609BM9D7/?img_index=6" TargetMode="External"/><Relationship Id="rId14" Type="http://schemas.openxmlformats.org/officeDocument/2006/relationships/hyperlink" Target="https://www.instagram.com/p/C-sUBhFJIf4/?utm_source=ig_web_copy_link&amp;igsh=NTc4MTIwNjQ2YQ%3D%3D" TargetMode="External"/><Relationship Id="rId58" Type="http://schemas.openxmlformats.org/officeDocument/2006/relationships/hyperlink" Target="https://www.instagram.com/p/DVtHQLtDMtN/?utm_source=ig_web_copy_link&amp;igsh=MzRlODBiNWFlZA==" TargetMode="External"/><Relationship Id="rId17" Type="http://schemas.openxmlformats.org/officeDocument/2006/relationships/hyperlink" Target="https://www.instagram.com/p/DXMXIwmlg8j/?utm_source=ig_web_copy_link&amp;igsh=MzRlODBiNWFlZA%3D%3D" TargetMode="External"/><Relationship Id="rId16" Type="http://schemas.openxmlformats.org/officeDocument/2006/relationships/hyperlink" Target="https://www.instagram.com/reels/DGEOHymp49-/" TargetMode="External"/><Relationship Id="rId19" Type="http://schemas.openxmlformats.org/officeDocument/2006/relationships/hyperlink" Target="https://www.instagram.com/p/DILnPGBMpd_/?utm_source=ig_web_copy_link&amp;igsh=NTc4MTIwNjQ2YQ%3D%3D" TargetMode="External"/><Relationship Id="rId18" Type="http://schemas.openxmlformats.org/officeDocument/2006/relationships/hyperlink" Target="https://www.instagram.com/reels/DYU3ffKjFZ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13"/>
    <col customWidth="1" min="8" max="8" width="1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 ht="15.75" customHeight="1">
      <c r="A2" s="1" t="s">
        <v>20</v>
      </c>
      <c r="B2" s="1" t="s">
        <v>21</v>
      </c>
      <c r="C2" s="1" t="str">
        <f t="shared" ref="C2:C65" si="1">LEFT(A2,FIND("\",A2) - 1)</f>
        <v>CocaCola</v>
      </c>
      <c r="D2" s="1" t="s">
        <v>22</v>
      </c>
      <c r="E2" s="1">
        <v>2026.0</v>
      </c>
      <c r="F2" s="3">
        <v>46049.0</v>
      </c>
      <c r="G2" s="1" t="s">
        <v>23</v>
      </c>
      <c r="H2" s="4">
        <v>0.0292154066264629</v>
      </c>
      <c r="I2" s="4">
        <v>0.212435588240623</v>
      </c>
      <c r="J2" s="4">
        <v>0.985085725784301</v>
      </c>
      <c r="L2" s="1">
        <f t="shared" ref="L2:L65" si="2">(H2+I2+J2)/3</f>
        <v>0.4089122402</v>
      </c>
      <c r="M2" s="1">
        <f t="shared" ref="M2:M3" si="3">(H2+I2+J2)/3</f>
        <v>0.4089122402</v>
      </c>
      <c r="N2" s="5" t="s">
        <v>24</v>
      </c>
      <c r="O2" s="1">
        <v>1406.0</v>
      </c>
      <c r="P2" s="1">
        <v>12.0</v>
      </c>
      <c r="Q2" s="1">
        <v>23.0</v>
      </c>
      <c r="R2" s="1">
        <v>70.0</v>
      </c>
      <c r="S2" s="2" t="s">
        <v>25</v>
      </c>
      <c r="T2" s="1">
        <v>79100.0</v>
      </c>
    </row>
    <row r="3" ht="15.75" customHeight="1">
      <c r="A3" s="1" t="s">
        <v>26</v>
      </c>
      <c r="B3" s="1" t="s">
        <v>27</v>
      </c>
      <c r="C3" s="1" t="str">
        <f t="shared" si="1"/>
        <v>CocaCola</v>
      </c>
      <c r="D3" s="1" t="s">
        <v>22</v>
      </c>
      <c r="E3" s="1">
        <v>2026.0</v>
      </c>
      <c r="F3" s="3">
        <v>46049.0</v>
      </c>
      <c r="G3" s="1" t="s">
        <v>23</v>
      </c>
      <c r="H3" s="6">
        <v>0.008563685</v>
      </c>
      <c r="I3" s="4">
        <v>0.146659076213836</v>
      </c>
      <c r="J3" s="4">
        <v>0.0574853233993053</v>
      </c>
      <c r="L3" s="1">
        <f t="shared" si="2"/>
        <v>0.07090269487</v>
      </c>
      <c r="M3" s="1">
        <f t="shared" si="3"/>
        <v>0.07090269487</v>
      </c>
      <c r="N3" s="5" t="s">
        <v>28</v>
      </c>
      <c r="O3" s="1">
        <v>232.0</v>
      </c>
      <c r="P3" s="1">
        <v>9.0</v>
      </c>
      <c r="Q3" s="1">
        <v>6.0</v>
      </c>
      <c r="R3" s="1">
        <v>5.0</v>
      </c>
      <c r="S3" s="2" t="s">
        <v>25</v>
      </c>
      <c r="T3" s="1">
        <v>79100.0</v>
      </c>
    </row>
    <row r="4" ht="15.75" customHeight="1">
      <c r="A4" s="1" t="s">
        <v>29</v>
      </c>
      <c r="B4" s="1" t="s">
        <v>30</v>
      </c>
      <c r="C4" s="1" t="str">
        <f t="shared" si="1"/>
        <v>CocaCola</v>
      </c>
      <c r="D4" s="1" t="s">
        <v>22</v>
      </c>
      <c r="E4" s="1">
        <v>2026.0</v>
      </c>
      <c r="F4" s="3">
        <v>46049.0</v>
      </c>
      <c r="G4" s="1" t="s">
        <v>31</v>
      </c>
      <c r="K4" s="6">
        <v>0.00143554853275418</v>
      </c>
      <c r="L4" s="1">
        <f t="shared" si="2"/>
        <v>0</v>
      </c>
      <c r="M4" s="1">
        <f t="shared" ref="M4:M8" si="4">K4</f>
        <v>0.001435548533</v>
      </c>
      <c r="N4" s="5" t="s">
        <v>32</v>
      </c>
      <c r="O4" s="1">
        <v>474.0</v>
      </c>
      <c r="P4" s="1">
        <v>14.0</v>
      </c>
      <c r="Q4" s="1">
        <v>30.0</v>
      </c>
      <c r="R4" s="1">
        <v>113.0</v>
      </c>
      <c r="S4" s="2" t="s">
        <v>25</v>
      </c>
      <c r="T4" s="1">
        <v>79100.0</v>
      </c>
    </row>
    <row r="5" ht="15.75" customHeight="1">
      <c r="A5" s="1" t="s">
        <v>33</v>
      </c>
      <c r="B5" s="1" t="s">
        <v>34</v>
      </c>
      <c r="C5" s="1" t="str">
        <f t="shared" si="1"/>
        <v>CocaCola</v>
      </c>
      <c r="D5" s="1" t="s">
        <v>22</v>
      </c>
      <c r="E5" s="1">
        <v>2026.0</v>
      </c>
      <c r="F5" s="3">
        <v>46049.0</v>
      </c>
      <c r="G5" s="1" t="s">
        <v>31</v>
      </c>
      <c r="K5" s="4">
        <v>0.0255034361034631</v>
      </c>
      <c r="L5" s="1">
        <f t="shared" si="2"/>
        <v>0</v>
      </c>
      <c r="M5" s="1">
        <f t="shared" si="4"/>
        <v>0.0255034361</v>
      </c>
      <c r="N5" s="5" t="s">
        <v>35</v>
      </c>
      <c r="O5" s="1">
        <v>1362.0</v>
      </c>
      <c r="P5" s="1">
        <v>28.0</v>
      </c>
      <c r="Q5" s="1">
        <v>79.0</v>
      </c>
      <c r="R5" s="1">
        <v>505.0</v>
      </c>
      <c r="S5" s="2" t="s">
        <v>25</v>
      </c>
      <c r="T5" s="1">
        <v>79100.0</v>
      </c>
    </row>
    <row r="6" ht="15.75" customHeight="1">
      <c r="A6" s="1" t="s">
        <v>36</v>
      </c>
      <c r="B6" s="1" t="s">
        <v>37</v>
      </c>
      <c r="C6" s="1" t="str">
        <f t="shared" si="1"/>
        <v>CocaCola</v>
      </c>
      <c r="D6" s="1" t="s">
        <v>38</v>
      </c>
      <c r="E6" s="1">
        <v>2025.0</v>
      </c>
      <c r="F6" s="3">
        <v>45742.0</v>
      </c>
      <c r="G6" s="1" t="s">
        <v>31</v>
      </c>
      <c r="K6" s="4">
        <v>0.9997039437294</v>
      </c>
      <c r="L6" s="1">
        <f t="shared" si="2"/>
        <v>0</v>
      </c>
      <c r="M6" s="1">
        <f t="shared" si="4"/>
        <v>0.9997039437</v>
      </c>
      <c r="N6" s="5" t="s">
        <v>39</v>
      </c>
      <c r="O6" s="1" t="s">
        <v>40</v>
      </c>
      <c r="P6" s="1">
        <v>7.0</v>
      </c>
      <c r="Q6" s="1">
        <v>1.0</v>
      </c>
      <c r="R6" s="1">
        <v>0.0</v>
      </c>
      <c r="S6" s="2" t="s">
        <v>25</v>
      </c>
      <c r="T6" s="1">
        <v>79100.0</v>
      </c>
    </row>
    <row r="7" ht="15.75" customHeight="1">
      <c r="A7" s="1" t="s">
        <v>41</v>
      </c>
      <c r="B7" s="1" t="s">
        <v>42</v>
      </c>
      <c r="C7" s="1" t="str">
        <f t="shared" si="1"/>
        <v>CocaCola</v>
      </c>
      <c r="D7" s="1" t="s">
        <v>38</v>
      </c>
      <c r="E7" s="1">
        <v>2025.0</v>
      </c>
      <c r="F7" s="3">
        <v>45742.0</v>
      </c>
      <c r="G7" s="1" t="s">
        <v>31</v>
      </c>
      <c r="K7" s="6">
        <v>2.04094729269854E-4</v>
      </c>
      <c r="L7" s="1">
        <f t="shared" si="2"/>
        <v>0</v>
      </c>
      <c r="M7" s="1">
        <f t="shared" si="4"/>
        <v>0.0002040947293</v>
      </c>
      <c r="N7" s="5" t="s">
        <v>43</v>
      </c>
      <c r="O7" s="1">
        <v>215.0</v>
      </c>
      <c r="P7" s="1">
        <v>11.0</v>
      </c>
      <c r="Q7" s="1">
        <v>4.0</v>
      </c>
      <c r="R7" s="1">
        <v>11.0</v>
      </c>
      <c r="S7" s="2" t="s">
        <v>25</v>
      </c>
      <c r="T7" s="1">
        <v>79100.0</v>
      </c>
    </row>
    <row r="8" ht="15.75" customHeight="1">
      <c r="A8" s="1" t="s">
        <v>44</v>
      </c>
      <c r="B8" s="1" t="s">
        <v>45</v>
      </c>
      <c r="C8" s="1" t="str">
        <f t="shared" si="1"/>
        <v>CocaCola</v>
      </c>
      <c r="D8" s="1" t="s">
        <v>38</v>
      </c>
      <c r="E8" s="1">
        <v>2025.0</v>
      </c>
      <c r="F8" s="3">
        <v>45742.0</v>
      </c>
      <c r="G8" s="1" t="s">
        <v>31</v>
      </c>
      <c r="K8" s="6">
        <v>8.40916996821761E-4</v>
      </c>
      <c r="L8" s="1">
        <f t="shared" si="2"/>
        <v>0</v>
      </c>
      <c r="M8" s="1">
        <f t="shared" si="4"/>
        <v>0.0008409169968</v>
      </c>
      <c r="N8" s="5" t="s">
        <v>46</v>
      </c>
      <c r="O8" s="1">
        <v>9055.0</v>
      </c>
      <c r="P8" s="1">
        <v>91.0</v>
      </c>
      <c r="Q8" s="1">
        <v>8.0</v>
      </c>
      <c r="R8" s="1">
        <v>129.0</v>
      </c>
      <c r="S8" s="2" t="s">
        <v>25</v>
      </c>
      <c r="T8" s="1">
        <v>79100.0</v>
      </c>
    </row>
    <row r="9" ht="15.75" customHeight="1">
      <c r="A9" s="1" t="s">
        <v>47</v>
      </c>
      <c r="B9" s="1" t="s">
        <v>48</v>
      </c>
      <c r="C9" s="1" t="str">
        <f t="shared" si="1"/>
        <v>Heinz</v>
      </c>
      <c r="D9" s="1" t="s">
        <v>49</v>
      </c>
      <c r="E9" s="1">
        <v>2025.0</v>
      </c>
      <c r="F9" s="3">
        <v>45819.0</v>
      </c>
      <c r="G9" s="1" t="s">
        <v>23</v>
      </c>
      <c r="H9" s="4">
        <v>0.0149566233158111</v>
      </c>
      <c r="I9" s="4">
        <v>0.192650988698005</v>
      </c>
      <c r="J9" s="4">
        <v>0.164491817355155</v>
      </c>
      <c r="L9" s="1">
        <f t="shared" si="2"/>
        <v>0.1240331431</v>
      </c>
      <c r="M9" s="1">
        <f t="shared" ref="M9:M15" si="5">(H9+I9+J9)/3</f>
        <v>0.1240331431</v>
      </c>
      <c r="N9" s="5" t="s">
        <v>50</v>
      </c>
      <c r="O9" s="1">
        <v>46.0</v>
      </c>
      <c r="P9" s="1">
        <v>1.0</v>
      </c>
      <c r="Q9" s="1">
        <v>0.0</v>
      </c>
      <c r="R9" s="7">
        <v>1.0</v>
      </c>
      <c r="S9" s="8" t="s">
        <v>51</v>
      </c>
      <c r="T9" s="1">
        <v>36000.0</v>
      </c>
    </row>
    <row r="10" ht="15.75" customHeight="1">
      <c r="A10" s="1" t="s">
        <v>52</v>
      </c>
      <c r="B10" s="1" t="s">
        <v>53</v>
      </c>
      <c r="C10" s="1" t="str">
        <f t="shared" si="1"/>
        <v>Heinz</v>
      </c>
      <c r="D10" s="1" t="s">
        <v>49</v>
      </c>
      <c r="E10" s="1">
        <v>2025.0</v>
      </c>
      <c r="F10" s="3">
        <v>45819.0</v>
      </c>
      <c r="G10" s="1" t="s">
        <v>23</v>
      </c>
      <c r="H10" s="4">
        <v>0.297668278217315</v>
      </c>
      <c r="I10" s="4">
        <v>0.179470151662826</v>
      </c>
      <c r="J10" s="4">
        <v>0.556072890758514</v>
      </c>
      <c r="L10" s="1">
        <f t="shared" si="2"/>
        <v>0.3444037735</v>
      </c>
      <c r="M10" s="1">
        <f t="shared" si="5"/>
        <v>0.3444037735</v>
      </c>
      <c r="N10" s="5" t="s">
        <v>50</v>
      </c>
      <c r="O10" s="1">
        <v>46.0</v>
      </c>
      <c r="P10" s="1">
        <v>1.0</v>
      </c>
      <c r="Q10" s="1">
        <v>0.0</v>
      </c>
      <c r="R10" s="1">
        <v>1.0</v>
      </c>
      <c r="S10" s="8" t="s">
        <v>51</v>
      </c>
      <c r="T10" s="1">
        <v>36000.0</v>
      </c>
    </row>
    <row r="11" ht="15.75" customHeight="1">
      <c r="A11" s="1" t="s">
        <v>54</v>
      </c>
      <c r="B11" s="1" t="s">
        <v>55</v>
      </c>
      <c r="C11" s="1" t="str">
        <f t="shared" si="1"/>
        <v>Heinz</v>
      </c>
      <c r="D11" s="1" t="s">
        <v>49</v>
      </c>
      <c r="E11" s="1">
        <v>2025.0</v>
      </c>
      <c r="F11" s="3">
        <v>45819.0</v>
      </c>
      <c r="G11" s="1" t="s">
        <v>23</v>
      </c>
      <c r="H11" s="4">
        <v>0.0490781366825103</v>
      </c>
      <c r="I11" s="4">
        <v>0.0570575669407844</v>
      </c>
      <c r="J11" s="6">
        <v>0.0413667224347591</v>
      </c>
      <c r="L11" s="1">
        <f t="shared" si="2"/>
        <v>0.04916747535</v>
      </c>
      <c r="M11" s="1">
        <f t="shared" si="5"/>
        <v>0.04916747535</v>
      </c>
      <c r="N11" s="5" t="s">
        <v>50</v>
      </c>
      <c r="O11" s="1">
        <v>46.0</v>
      </c>
      <c r="P11" s="1">
        <v>1.0</v>
      </c>
      <c r="Q11" s="1">
        <v>0.0</v>
      </c>
      <c r="R11" s="1">
        <v>1.0</v>
      </c>
      <c r="S11" s="8" t="s">
        <v>51</v>
      </c>
      <c r="T11" s="1">
        <v>36000.0</v>
      </c>
    </row>
    <row r="12" ht="15.75" customHeight="1">
      <c r="A12" s="1" t="s">
        <v>56</v>
      </c>
      <c r="B12" s="1" t="s">
        <v>57</v>
      </c>
      <c r="C12" s="1" t="str">
        <f t="shared" si="1"/>
        <v>Heinz</v>
      </c>
      <c r="D12" s="1" t="s">
        <v>49</v>
      </c>
      <c r="E12" s="1">
        <v>2025.0</v>
      </c>
      <c r="F12" s="3">
        <v>45819.0</v>
      </c>
      <c r="G12" s="1" t="s">
        <v>23</v>
      </c>
      <c r="H12" s="4">
        <v>0.339727349579334</v>
      </c>
      <c r="I12" s="4">
        <v>0.131059631705284</v>
      </c>
      <c r="J12" s="4">
        <v>0.110837504267692</v>
      </c>
      <c r="L12" s="1">
        <f t="shared" si="2"/>
        <v>0.1938748285</v>
      </c>
      <c r="M12" s="1">
        <f t="shared" si="5"/>
        <v>0.1938748285</v>
      </c>
      <c r="N12" s="5" t="s">
        <v>58</v>
      </c>
      <c r="O12" s="1">
        <v>940.0</v>
      </c>
      <c r="P12" s="1">
        <v>15.0</v>
      </c>
      <c r="Q12" s="1">
        <v>0.0</v>
      </c>
      <c r="R12" s="1">
        <v>147.0</v>
      </c>
      <c r="S12" s="8" t="s">
        <v>51</v>
      </c>
      <c r="T12" s="1">
        <v>36000.0</v>
      </c>
    </row>
    <row r="13" ht="15.75" customHeight="1">
      <c r="A13" s="1" t="s">
        <v>59</v>
      </c>
      <c r="B13" s="1" t="s">
        <v>60</v>
      </c>
      <c r="C13" s="1" t="str">
        <f t="shared" si="1"/>
        <v>Heinz</v>
      </c>
      <c r="D13" s="1" t="s">
        <v>49</v>
      </c>
      <c r="E13" s="1">
        <v>2025.0</v>
      </c>
      <c r="F13" s="3">
        <v>45819.0</v>
      </c>
      <c r="G13" s="1" t="s">
        <v>23</v>
      </c>
      <c r="H13" s="4">
        <v>0.400190949440002</v>
      </c>
      <c r="I13" s="6">
        <v>0.0363661684095859</v>
      </c>
      <c r="J13" s="4">
        <v>0.101541027426719</v>
      </c>
      <c r="L13" s="1">
        <f t="shared" si="2"/>
        <v>0.1793660484</v>
      </c>
      <c r="M13" s="1">
        <f t="shared" si="5"/>
        <v>0.1793660484</v>
      </c>
      <c r="N13" s="5" t="s">
        <v>61</v>
      </c>
      <c r="O13" s="1">
        <v>304.0</v>
      </c>
      <c r="P13" s="1">
        <v>19.0</v>
      </c>
      <c r="Q13" s="1">
        <v>1.0</v>
      </c>
      <c r="R13" s="1">
        <v>61.0</v>
      </c>
      <c r="S13" s="8" t="s">
        <v>51</v>
      </c>
      <c r="T13" s="1">
        <v>36000.0</v>
      </c>
    </row>
    <row r="14" ht="15.75" customHeight="1">
      <c r="A14" s="1" t="s">
        <v>62</v>
      </c>
      <c r="B14" s="1" t="s">
        <v>63</v>
      </c>
      <c r="C14" s="1" t="str">
        <f t="shared" si="1"/>
        <v>Heinz</v>
      </c>
      <c r="D14" s="1" t="s">
        <v>49</v>
      </c>
      <c r="E14" s="1">
        <v>2025.0</v>
      </c>
      <c r="F14" s="3">
        <v>45819.0</v>
      </c>
      <c r="G14" s="1" t="s">
        <v>23</v>
      </c>
      <c r="H14" s="4">
        <v>0.150608733296394</v>
      </c>
      <c r="I14" s="6">
        <v>0.0995077639818191</v>
      </c>
      <c r="J14" s="6">
        <v>0.0798053443431854</v>
      </c>
      <c r="L14" s="1">
        <f t="shared" si="2"/>
        <v>0.1099739472</v>
      </c>
      <c r="M14" s="1">
        <f t="shared" si="5"/>
        <v>0.1099739472</v>
      </c>
      <c r="N14" s="5" t="s">
        <v>64</v>
      </c>
      <c r="O14" s="1">
        <v>475.0</v>
      </c>
      <c r="P14" s="1">
        <v>15.0</v>
      </c>
      <c r="Q14" s="1">
        <v>2.0</v>
      </c>
      <c r="R14" s="1">
        <v>82.0</v>
      </c>
      <c r="S14" s="8" t="s">
        <v>51</v>
      </c>
      <c r="T14" s="1">
        <v>36000.0</v>
      </c>
    </row>
    <row r="15" ht="15.75" customHeight="1">
      <c r="A15" s="1" t="s">
        <v>65</v>
      </c>
      <c r="B15" s="1" t="s">
        <v>66</v>
      </c>
      <c r="C15" s="1" t="str">
        <f t="shared" si="1"/>
        <v>Heinz</v>
      </c>
      <c r="D15" s="1" t="s">
        <v>67</v>
      </c>
      <c r="E15" s="1">
        <v>2026.0</v>
      </c>
      <c r="F15" s="3">
        <v>46035.0</v>
      </c>
      <c r="G15" s="1" t="s">
        <v>23</v>
      </c>
      <c r="H15" s="4">
        <v>0.666078984737396</v>
      </c>
      <c r="I15" s="4">
        <v>0.258866906166076</v>
      </c>
      <c r="J15" s="4">
        <v>0.316125601530075</v>
      </c>
      <c r="L15" s="1">
        <f t="shared" si="2"/>
        <v>0.4136904975</v>
      </c>
      <c r="M15" s="1">
        <f t="shared" si="5"/>
        <v>0.4136904975</v>
      </c>
      <c r="N15" s="5" t="s">
        <v>68</v>
      </c>
      <c r="O15" s="1">
        <v>2425.0</v>
      </c>
      <c r="P15" s="1">
        <v>88.0</v>
      </c>
      <c r="Q15" s="1">
        <v>1.0</v>
      </c>
      <c r="R15" s="1">
        <v>243.0</v>
      </c>
      <c r="S15" s="8" t="s">
        <v>51</v>
      </c>
      <c r="T15" s="1">
        <v>36000.0</v>
      </c>
    </row>
    <row r="16" ht="15.75" customHeight="1">
      <c r="A16" s="1" t="s">
        <v>69</v>
      </c>
      <c r="B16" s="1" t="s">
        <v>70</v>
      </c>
      <c r="C16" s="1" t="str">
        <f t="shared" si="1"/>
        <v>Heinz</v>
      </c>
      <c r="D16" s="1" t="s">
        <v>67</v>
      </c>
      <c r="E16" s="1">
        <v>2026.0</v>
      </c>
      <c r="F16" s="3">
        <v>46035.0</v>
      </c>
      <c r="G16" s="1" t="s">
        <v>31</v>
      </c>
      <c r="K16" s="6">
        <v>3.34841548465192E-4</v>
      </c>
      <c r="L16" s="1">
        <f t="shared" si="2"/>
        <v>0</v>
      </c>
      <c r="M16" s="1">
        <f t="shared" ref="M16:M17" si="6">K16</f>
        <v>0.0003348415485</v>
      </c>
      <c r="N16" s="5" t="s">
        <v>71</v>
      </c>
      <c r="O16" s="1">
        <v>1353.0</v>
      </c>
      <c r="P16" s="1">
        <v>26.0</v>
      </c>
      <c r="Q16" s="1">
        <v>12.0</v>
      </c>
      <c r="R16" s="1">
        <v>514.0</v>
      </c>
      <c r="S16" s="8" t="s">
        <v>51</v>
      </c>
      <c r="T16" s="1">
        <v>36000.0</v>
      </c>
    </row>
    <row r="17" ht="15.75" customHeight="1">
      <c r="A17" s="1" t="s">
        <v>72</v>
      </c>
      <c r="B17" s="1" t="s">
        <v>73</v>
      </c>
      <c r="C17" s="1" t="str">
        <f t="shared" si="1"/>
        <v>Heinz</v>
      </c>
      <c r="D17" s="1" t="s">
        <v>67</v>
      </c>
      <c r="E17" s="1">
        <v>2026.0</v>
      </c>
      <c r="F17" s="3">
        <v>46035.0</v>
      </c>
      <c r="G17" s="1" t="s">
        <v>31</v>
      </c>
      <c r="K17" s="6">
        <v>0.0023644296452403</v>
      </c>
      <c r="L17" s="1">
        <f t="shared" si="2"/>
        <v>0</v>
      </c>
      <c r="M17" s="1">
        <f t="shared" si="6"/>
        <v>0.002364429645</v>
      </c>
      <c r="N17" s="5" t="s">
        <v>74</v>
      </c>
      <c r="O17" s="1">
        <v>97100.0</v>
      </c>
      <c r="P17" s="1">
        <v>1661.0</v>
      </c>
      <c r="Q17" s="1">
        <v>2.0</v>
      </c>
      <c r="R17" s="1">
        <v>25000.0</v>
      </c>
      <c r="S17" s="8" t="s">
        <v>51</v>
      </c>
      <c r="T17" s="1">
        <v>36000.0</v>
      </c>
    </row>
    <row r="18" ht="15.75" customHeight="1">
      <c r="A18" s="1" t="s">
        <v>75</v>
      </c>
      <c r="B18" s="1" t="s">
        <v>76</v>
      </c>
      <c r="C18" s="1" t="str">
        <f t="shared" si="1"/>
        <v>Ikea</v>
      </c>
      <c r="D18" s="1" t="s">
        <v>77</v>
      </c>
      <c r="E18" s="1">
        <v>2026.0</v>
      </c>
      <c r="F18" s="3">
        <v>46155.0</v>
      </c>
      <c r="G18" s="1" t="s">
        <v>23</v>
      </c>
      <c r="H18" s="4">
        <v>0.0113532440736889</v>
      </c>
      <c r="I18" s="6">
        <v>0.0501572415232658</v>
      </c>
      <c r="J18" s="4">
        <v>0.161289393901824</v>
      </c>
      <c r="L18" s="1">
        <f t="shared" si="2"/>
        <v>0.0742666265</v>
      </c>
      <c r="M18" s="1">
        <f>(H18+I18+J18)/3</f>
        <v>0.0742666265</v>
      </c>
      <c r="N18" s="5" t="s">
        <v>78</v>
      </c>
      <c r="O18" s="1">
        <v>21892.0</v>
      </c>
      <c r="P18" s="1">
        <v>311.0</v>
      </c>
      <c r="Q18" s="1">
        <v>324.0</v>
      </c>
      <c r="R18" s="1">
        <v>4280.0</v>
      </c>
      <c r="S18" s="2" t="s">
        <v>79</v>
      </c>
      <c r="T18" s="1">
        <v>231000.0</v>
      </c>
    </row>
    <row r="19" ht="15.75" customHeight="1">
      <c r="A19" s="1" t="s">
        <v>80</v>
      </c>
      <c r="B19" s="1" t="s">
        <v>81</v>
      </c>
      <c r="C19" s="1" t="str">
        <f t="shared" si="1"/>
        <v>Ikea</v>
      </c>
      <c r="D19" s="1" t="s">
        <v>77</v>
      </c>
      <c r="E19" s="1">
        <v>2026.0</v>
      </c>
      <c r="F19" s="3">
        <v>46155.0</v>
      </c>
      <c r="G19" s="1" t="s">
        <v>31</v>
      </c>
      <c r="K19" s="6">
        <v>0.99894779920578</v>
      </c>
      <c r="L19" s="1">
        <f t="shared" si="2"/>
        <v>0</v>
      </c>
      <c r="M19" s="1">
        <f>K19</f>
        <v>0.9989477992</v>
      </c>
      <c r="N19" s="5" t="s">
        <v>82</v>
      </c>
      <c r="O19" s="1">
        <v>6939.0</v>
      </c>
      <c r="P19" s="1">
        <v>105.0</v>
      </c>
      <c r="Q19" s="1">
        <v>73.0</v>
      </c>
      <c r="R19" s="1">
        <v>1017.0</v>
      </c>
      <c r="S19" s="2" t="s">
        <v>79</v>
      </c>
      <c r="T19" s="1">
        <v>231000.0</v>
      </c>
    </row>
    <row r="20" ht="15.75" customHeight="1">
      <c r="A20" s="1" t="s">
        <v>83</v>
      </c>
      <c r="B20" s="1" t="s">
        <v>84</v>
      </c>
      <c r="C20" s="1" t="str">
        <f t="shared" si="1"/>
        <v>Ikea</v>
      </c>
      <c r="D20" s="1" t="s">
        <v>85</v>
      </c>
      <c r="E20" s="1">
        <v>2025.0</v>
      </c>
      <c r="F20" s="3">
        <v>45754.0</v>
      </c>
      <c r="G20" s="1" t="s">
        <v>23</v>
      </c>
      <c r="H20" s="6">
        <v>0.006649422</v>
      </c>
      <c r="I20" s="6">
        <v>0.0665821433067321</v>
      </c>
      <c r="J20" s="6">
        <v>0.0546598471701145</v>
      </c>
      <c r="L20" s="1">
        <f t="shared" si="2"/>
        <v>0.04263047083</v>
      </c>
      <c r="M20" s="1">
        <f t="shared" ref="M20:M28" si="7">(H20+I20+J20)/3</f>
        <v>0.04263047083</v>
      </c>
      <c r="N20" s="5" t="s">
        <v>86</v>
      </c>
      <c r="O20" s="1">
        <v>13115.0</v>
      </c>
      <c r="P20" s="1">
        <v>246.0</v>
      </c>
      <c r="Q20" s="1">
        <v>4.0</v>
      </c>
      <c r="R20" s="1">
        <v>274.0</v>
      </c>
      <c r="S20" s="2" t="s">
        <v>79</v>
      </c>
      <c r="T20" s="1">
        <v>231000.0</v>
      </c>
    </row>
    <row r="21" ht="15.75" customHeight="1">
      <c r="A21" s="1" t="s">
        <v>87</v>
      </c>
      <c r="B21" s="1" t="s">
        <v>88</v>
      </c>
      <c r="C21" s="1" t="str">
        <f t="shared" si="1"/>
        <v>Ikea</v>
      </c>
      <c r="D21" s="1" t="s">
        <v>85</v>
      </c>
      <c r="E21" s="1">
        <v>2025.0</v>
      </c>
      <c r="F21" s="3">
        <v>45754.0</v>
      </c>
      <c r="G21" s="1" t="s">
        <v>23</v>
      </c>
      <c r="H21" s="4">
        <v>0.0167902670800685</v>
      </c>
      <c r="I21" s="6">
        <v>0.18691486120224</v>
      </c>
      <c r="J21" s="6">
        <v>0.0990110784769058</v>
      </c>
      <c r="L21" s="1">
        <f t="shared" si="2"/>
        <v>0.1009054023</v>
      </c>
      <c r="M21" s="1">
        <f t="shared" si="7"/>
        <v>0.1009054023</v>
      </c>
      <c r="N21" s="5" t="s">
        <v>86</v>
      </c>
      <c r="O21" s="1">
        <v>13115.0</v>
      </c>
      <c r="P21" s="1">
        <v>246.0</v>
      </c>
      <c r="Q21" s="1">
        <v>4.0</v>
      </c>
      <c r="R21" s="1">
        <v>274.0</v>
      </c>
      <c r="S21" s="2" t="s">
        <v>79</v>
      </c>
      <c r="T21" s="1">
        <v>231000.0</v>
      </c>
    </row>
    <row r="22" ht="15.75" customHeight="1">
      <c r="A22" s="1" t="s">
        <v>89</v>
      </c>
      <c r="B22" s="1" t="s">
        <v>90</v>
      </c>
      <c r="C22" s="1" t="str">
        <f t="shared" si="1"/>
        <v>Ikea</v>
      </c>
      <c r="D22" s="1" t="s">
        <v>85</v>
      </c>
      <c r="E22" s="1">
        <v>2025.0</v>
      </c>
      <c r="F22" s="3">
        <v>45754.0</v>
      </c>
      <c r="G22" s="1" t="s">
        <v>23</v>
      </c>
      <c r="H22" s="4">
        <v>0.0113057028502225</v>
      </c>
      <c r="I22" s="4">
        <v>0.249619737267494</v>
      </c>
      <c r="J22" s="6">
        <v>0.0908849537372589</v>
      </c>
      <c r="L22" s="1">
        <f t="shared" si="2"/>
        <v>0.1172701313</v>
      </c>
      <c r="M22" s="1">
        <f t="shared" si="7"/>
        <v>0.1172701313</v>
      </c>
      <c r="N22" s="5" t="s">
        <v>86</v>
      </c>
      <c r="O22" s="1">
        <v>13115.0</v>
      </c>
      <c r="P22" s="1">
        <v>246.0</v>
      </c>
      <c r="Q22" s="1">
        <v>4.0</v>
      </c>
      <c r="R22" s="1">
        <v>274.0</v>
      </c>
      <c r="S22" s="2" t="s">
        <v>79</v>
      </c>
      <c r="T22" s="1">
        <v>231000.0</v>
      </c>
    </row>
    <row r="23" ht="15.75" customHeight="1">
      <c r="A23" s="1" t="s">
        <v>91</v>
      </c>
      <c r="B23" s="1" t="s">
        <v>92</v>
      </c>
      <c r="C23" s="1" t="str">
        <f t="shared" si="1"/>
        <v>Ikea</v>
      </c>
      <c r="D23" s="1" t="s">
        <v>85</v>
      </c>
      <c r="E23" s="1">
        <v>2025.0</v>
      </c>
      <c r="F23" s="3">
        <v>45754.0</v>
      </c>
      <c r="G23" s="1" t="s">
        <v>23</v>
      </c>
      <c r="H23" s="4">
        <v>0.0296029038727283</v>
      </c>
      <c r="I23" s="4">
        <v>0.245558530092239</v>
      </c>
      <c r="J23" s="6">
        <v>0.0653327107429504</v>
      </c>
      <c r="L23" s="1">
        <f t="shared" si="2"/>
        <v>0.1134980482</v>
      </c>
      <c r="M23" s="1">
        <f t="shared" si="7"/>
        <v>0.1134980482</v>
      </c>
      <c r="N23" s="5" t="s">
        <v>86</v>
      </c>
      <c r="O23" s="1">
        <v>13115.0</v>
      </c>
      <c r="P23" s="1">
        <v>246.0</v>
      </c>
      <c r="Q23" s="1">
        <v>4.0</v>
      </c>
      <c r="R23" s="1">
        <v>274.0</v>
      </c>
      <c r="S23" s="2" t="s">
        <v>79</v>
      </c>
      <c r="T23" s="1">
        <v>231000.0</v>
      </c>
    </row>
    <row r="24" ht="15.75" customHeight="1">
      <c r="A24" s="1" t="s">
        <v>93</v>
      </c>
      <c r="B24" s="1" t="s">
        <v>94</v>
      </c>
      <c r="C24" s="1" t="str">
        <f t="shared" si="1"/>
        <v>Lego</v>
      </c>
      <c r="D24" s="1" t="s">
        <v>95</v>
      </c>
      <c r="E24" s="1">
        <v>2024.0</v>
      </c>
      <c r="F24" s="3">
        <v>45418.0</v>
      </c>
      <c r="G24" s="1" t="s">
        <v>23</v>
      </c>
      <c r="H24" s="6">
        <v>0.018027755</v>
      </c>
      <c r="I24" s="4">
        <v>0.37262824177742</v>
      </c>
      <c r="J24" s="4">
        <v>0.389991551637649</v>
      </c>
      <c r="L24" s="1">
        <f t="shared" si="2"/>
        <v>0.2602158495</v>
      </c>
      <c r="M24" s="1">
        <f t="shared" si="7"/>
        <v>0.2602158495</v>
      </c>
      <c r="N24" s="5" t="s">
        <v>96</v>
      </c>
      <c r="O24" s="1">
        <v>31942.0</v>
      </c>
      <c r="P24" s="1">
        <v>98.0</v>
      </c>
      <c r="Q24" s="1">
        <v>170.0</v>
      </c>
      <c r="R24" s="1">
        <v>422.0</v>
      </c>
      <c r="S24" s="2" t="s">
        <v>97</v>
      </c>
      <c r="T24" s="1">
        <v>33800.0</v>
      </c>
    </row>
    <row r="25" ht="15.75" customHeight="1">
      <c r="A25" s="1" t="s">
        <v>98</v>
      </c>
      <c r="B25" s="1" t="s">
        <v>99</v>
      </c>
      <c r="C25" s="1" t="str">
        <f t="shared" si="1"/>
        <v>Lego</v>
      </c>
      <c r="D25" s="1" t="str">
        <f t="shared" ref="D25:D65" si="8">MID(A25,FIND("\",A25) + 1,FIND(CHAR(160),SUBSTITUTE(A25,"\",CHAR(160),2)) - 1 - (FIND("\",A25)))</f>
        <v>LEGO Star Wars_Rebuild the Galaxy</v>
      </c>
      <c r="E25" s="1">
        <v>2024.0</v>
      </c>
      <c r="F25" s="3">
        <v>45418.0</v>
      </c>
      <c r="G25" s="1" t="s">
        <v>23</v>
      </c>
      <c r="H25" s="4">
        <v>0.0611925311386585</v>
      </c>
      <c r="I25" s="4">
        <v>0.594402849674224</v>
      </c>
      <c r="J25" s="4">
        <v>0.136237025260925</v>
      </c>
      <c r="L25" s="1">
        <f t="shared" si="2"/>
        <v>0.2639441354</v>
      </c>
      <c r="M25" s="1">
        <f t="shared" si="7"/>
        <v>0.2639441354</v>
      </c>
      <c r="N25" s="5" t="s">
        <v>100</v>
      </c>
      <c r="O25" s="1">
        <v>31942.0</v>
      </c>
      <c r="P25" s="1">
        <v>98.0</v>
      </c>
      <c r="Q25" s="1">
        <v>170.0</v>
      </c>
      <c r="R25" s="1">
        <v>422.0</v>
      </c>
      <c r="S25" s="2" t="s">
        <v>97</v>
      </c>
      <c r="T25" s="1">
        <v>33800.0</v>
      </c>
    </row>
    <row r="26" ht="15.75" customHeight="1">
      <c r="A26" s="1" t="s">
        <v>101</v>
      </c>
      <c r="B26" s="1" t="s">
        <v>102</v>
      </c>
      <c r="C26" s="1" t="str">
        <f t="shared" si="1"/>
        <v>Lego</v>
      </c>
      <c r="D26" s="1" t="str">
        <f t="shared" si="8"/>
        <v>LEGO Star Wars_Rebuild the Galaxy</v>
      </c>
      <c r="E26" s="1">
        <v>2024.0</v>
      </c>
      <c r="F26" s="3">
        <v>45418.0</v>
      </c>
      <c r="G26" s="1" t="s">
        <v>23</v>
      </c>
      <c r="H26" s="4">
        <v>0.02535006031394</v>
      </c>
      <c r="I26" s="4">
        <v>0.172621995210647</v>
      </c>
      <c r="J26" s="4">
        <v>0.386332303285598</v>
      </c>
      <c r="L26" s="1">
        <f t="shared" si="2"/>
        <v>0.1947681196</v>
      </c>
      <c r="M26" s="1">
        <f t="shared" si="7"/>
        <v>0.1947681196</v>
      </c>
      <c r="N26" s="5" t="s">
        <v>103</v>
      </c>
      <c r="O26" s="1">
        <v>31942.0</v>
      </c>
      <c r="P26" s="1">
        <v>98.0</v>
      </c>
      <c r="Q26" s="1">
        <v>170.0</v>
      </c>
      <c r="R26" s="1">
        <v>422.0</v>
      </c>
      <c r="S26" s="2" t="s">
        <v>97</v>
      </c>
      <c r="T26" s="1">
        <v>33800.0</v>
      </c>
    </row>
    <row r="27" ht="15.75" customHeight="1">
      <c r="A27" s="1" t="s">
        <v>104</v>
      </c>
      <c r="B27" s="1" t="s">
        <v>105</v>
      </c>
      <c r="C27" s="1" t="str">
        <f t="shared" si="1"/>
        <v>Lego</v>
      </c>
      <c r="D27" s="1" t="str">
        <f t="shared" si="8"/>
        <v>LEGO Star Wars_Rebuild the Galaxy</v>
      </c>
      <c r="E27" s="1">
        <v>2024.0</v>
      </c>
      <c r="F27" s="3">
        <v>45418.0</v>
      </c>
      <c r="G27" s="1" t="s">
        <v>23</v>
      </c>
      <c r="H27" s="4">
        <v>0.16531354188919</v>
      </c>
      <c r="I27" s="4">
        <v>0.623645484447479</v>
      </c>
      <c r="J27" s="4">
        <v>0.942865967750549</v>
      </c>
      <c r="L27" s="1">
        <f t="shared" si="2"/>
        <v>0.577274998</v>
      </c>
      <c r="M27" s="1">
        <f t="shared" si="7"/>
        <v>0.577274998</v>
      </c>
      <c r="N27" s="5" t="s">
        <v>106</v>
      </c>
      <c r="O27" s="1" t="s">
        <v>40</v>
      </c>
      <c r="P27" s="1">
        <v>985.0</v>
      </c>
      <c r="Q27" s="1">
        <v>0.0</v>
      </c>
      <c r="R27" s="1">
        <v>0.0</v>
      </c>
      <c r="S27" s="2" t="s">
        <v>97</v>
      </c>
      <c r="T27" s="1">
        <v>33800.0</v>
      </c>
    </row>
    <row r="28" ht="15.75" customHeight="1">
      <c r="A28" s="1" t="s">
        <v>107</v>
      </c>
      <c r="B28" s="1" t="s">
        <v>108</v>
      </c>
      <c r="C28" s="1" t="str">
        <f t="shared" si="1"/>
        <v>Lego</v>
      </c>
      <c r="D28" s="1" t="str">
        <f t="shared" si="8"/>
        <v>LEGO Star Wars_Rebuild the Galaxy</v>
      </c>
      <c r="E28" s="1">
        <v>2024.0</v>
      </c>
      <c r="F28" s="3">
        <v>45418.0</v>
      </c>
      <c r="G28" s="1" t="s">
        <v>23</v>
      </c>
      <c r="H28" s="4">
        <v>0.453812718391418</v>
      </c>
      <c r="I28" s="4">
        <v>0.823757946491241</v>
      </c>
      <c r="J28" s="4">
        <v>0.22296704351902</v>
      </c>
      <c r="L28" s="1">
        <f t="shared" si="2"/>
        <v>0.5001792361</v>
      </c>
      <c r="M28" s="1">
        <f t="shared" si="7"/>
        <v>0.5001792361</v>
      </c>
      <c r="N28" s="5" t="s">
        <v>109</v>
      </c>
      <c r="O28" s="1" t="s">
        <v>40</v>
      </c>
      <c r="P28" s="1">
        <v>986.0</v>
      </c>
      <c r="Q28" s="1">
        <v>0.0</v>
      </c>
      <c r="R28" s="1">
        <v>0.0</v>
      </c>
      <c r="S28" s="2" t="s">
        <v>97</v>
      </c>
      <c r="T28" s="1">
        <v>33800.0</v>
      </c>
    </row>
    <row r="29" ht="15.75" customHeight="1">
      <c r="A29" s="1" t="s">
        <v>110</v>
      </c>
      <c r="B29" s="1" t="s">
        <v>111</v>
      </c>
      <c r="C29" s="1" t="str">
        <f t="shared" si="1"/>
        <v>Lego</v>
      </c>
      <c r="D29" s="1" t="str">
        <f t="shared" si="8"/>
        <v>LEGO Star Wars_Rebuild the Galaxy</v>
      </c>
      <c r="E29" s="1">
        <v>2024.0</v>
      </c>
      <c r="F29" s="3">
        <v>45418.0</v>
      </c>
      <c r="G29" s="1" t="s">
        <v>31</v>
      </c>
      <c r="K29" s="6">
        <v>1.82268384378403E-4</v>
      </c>
      <c r="L29" s="1">
        <f t="shared" si="2"/>
        <v>0</v>
      </c>
      <c r="M29" s="1">
        <f t="shared" ref="M29:M30" si="9">K29</f>
        <v>0.0001822683844</v>
      </c>
      <c r="N29" s="5" t="s">
        <v>112</v>
      </c>
      <c r="O29" s="1">
        <v>23800.0</v>
      </c>
      <c r="P29" s="1">
        <v>126.0</v>
      </c>
      <c r="Q29" s="1">
        <v>280.0</v>
      </c>
      <c r="R29" s="1">
        <v>1488.0</v>
      </c>
      <c r="S29" s="2" t="s">
        <v>97</v>
      </c>
      <c r="T29" s="1">
        <v>33800.0</v>
      </c>
    </row>
    <row r="30" ht="15.75" customHeight="1">
      <c r="A30" s="1" t="s">
        <v>113</v>
      </c>
      <c r="B30" s="1" t="s">
        <v>114</v>
      </c>
      <c r="C30" s="1" t="str">
        <f t="shared" si="1"/>
        <v>Lego</v>
      </c>
      <c r="D30" s="1" t="str">
        <f t="shared" si="8"/>
        <v>LEGO Star Wars_Rebuild the Galaxy</v>
      </c>
      <c r="E30" s="1">
        <v>2024.0</v>
      </c>
      <c r="F30" s="3">
        <v>45418.0</v>
      </c>
      <c r="G30" s="1" t="s">
        <v>31</v>
      </c>
      <c r="K30" s="6">
        <v>1.22150362585671E-4</v>
      </c>
      <c r="L30" s="1">
        <f t="shared" si="2"/>
        <v>0</v>
      </c>
      <c r="M30" s="1">
        <f t="shared" si="9"/>
        <v>0.0001221503626</v>
      </c>
      <c r="N30" s="5" t="s">
        <v>115</v>
      </c>
      <c r="O30" s="1">
        <v>41600.0</v>
      </c>
      <c r="P30" s="1">
        <v>238.0</v>
      </c>
      <c r="Q30" s="1">
        <v>0.0</v>
      </c>
      <c r="R30" s="1">
        <v>12.0</v>
      </c>
      <c r="S30" s="2" t="s">
        <v>97</v>
      </c>
      <c r="T30" s="1">
        <v>33800.0</v>
      </c>
    </row>
    <row r="31" ht="15.75" customHeight="1">
      <c r="A31" s="1" t="s">
        <v>116</v>
      </c>
      <c r="B31" s="1" t="s">
        <v>117</v>
      </c>
      <c r="C31" s="1" t="str">
        <f t="shared" si="1"/>
        <v>Lego</v>
      </c>
      <c r="D31" s="1" t="str">
        <f t="shared" si="8"/>
        <v>She Built That</v>
      </c>
      <c r="E31" s="1">
        <v>2025.0</v>
      </c>
      <c r="F31" s="3">
        <v>45812.0</v>
      </c>
      <c r="G31" s="1" t="s">
        <v>23</v>
      </c>
      <c r="H31" s="6">
        <v>0.076953858</v>
      </c>
      <c r="I31" s="6">
        <v>0.0421641543507576</v>
      </c>
      <c r="J31" s="6">
        <v>0.0674510970711708</v>
      </c>
      <c r="L31" s="1">
        <f t="shared" si="2"/>
        <v>0.06218970314</v>
      </c>
      <c r="M31" s="1">
        <f t="shared" ref="M31:M34" si="10">(H31+I31+J31)/3</f>
        <v>0.06218970314</v>
      </c>
      <c r="N31" s="5" t="s">
        <v>118</v>
      </c>
      <c r="O31" s="1">
        <v>53.0</v>
      </c>
      <c r="P31" s="1">
        <v>0.0</v>
      </c>
      <c r="Q31" s="1">
        <v>0.0</v>
      </c>
      <c r="R31" s="1">
        <v>1.0</v>
      </c>
      <c r="S31" s="2" t="s">
        <v>97</v>
      </c>
      <c r="T31" s="1">
        <v>33800.0</v>
      </c>
    </row>
    <row r="32" ht="15.75" customHeight="1">
      <c r="A32" s="1" t="s">
        <v>119</v>
      </c>
      <c r="B32" s="1" t="s">
        <v>120</v>
      </c>
      <c r="C32" s="1" t="str">
        <f t="shared" si="1"/>
        <v>Lego</v>
      </c>
      <c r="D32" s="1" t="str">
        <f t="shared" si="8"/>
        <v>She Built That</v>
      </c>
      <c r="E32" s="1">
        <v>2025.0</v>
      </c>
      <c r="F32" s="3">
        <v>45812.0</v>
      </c>
      <c r="G32" s="1" t="s">
        <v>23</v>
      </c>
      <c r="H32" s="4">
        <v>0.042879968881607</v>
      </c>
      <c r="I32" s="4">
        <v>0.0311524346470832</v>
      </c>
      <c r="J32" s="6">
        <v>0.0850063487887382</v>
      </c>
      <c r="L32" s="1">
        <f t="shared" si="2"/>
        <v>0.05301291744</v>
      </c>
      <c r="M32" s="1">
        <f t="shared" si="10"/>
        <v>0.05301291744</v>
      </c>
      <c r="N32" s="5" t="s">
        <v>121</v>
      </c>
      <c r="O32" s="1">
        <v>53.0</v>
      </c>
      <c r="P32" s="1">
        <v>0.0</v>
      </c>
      <c r="Q32" s="1">
        <v>0.0</v>
      </c>
      <c r="R32" s="1">
        <v>1.0</v>
      </c>
      <c r="S32" s="2" t="s">
        <v>97</v>
      </c>
      <c r="T32" s="1">
        <v>33800.0</v>
      </c>
    </row>
    <row r="33" ht="15.75" customHeight="1">
      <c r="A33" s="1" t="s">
        <v>122</v>
      </c>
      <c r="B33" s="1" t="s">
        <v>123</v>
      </c>
      <c r="C33" s="1" t="str">
        <f t="shared" si="1"/>
        <v>Lego</v>
      </c>
      <c r="D33" s="1" t="str">
        <f t="shared" si="8"/>
        <v>She Built That</v>
      </c>
      <c r="E33" s="1">
        <v>2025.0</v>
      </c>
      <c r="F33" s="3">
        <v>45812.0</v>
      </c>
      <c r="G33" s="1" t="s">
        <v>23</v>
      </c>
      <c r="H33" s="4">
        <v>0.0136210592463612</v>
      </c>
      <c r="I33" s="4">
        <v>0.24500323832035</v>
      </c>
      <c r="J33" s="4">
        <v>0.110318161547183</v>
      </c>
      <c r="L33" s="1">
        <f t="shared" si="2"/>
        <v>0.1229808197</v>
      </c>
      <c r="M33" s="1">
        <f t="shared" si="10"/>
        <v>0.1229808197</v>
      </c>
      <c r="N33" s="5" t="s">
        <v>124</v>
      </c>
      <c r="O33" s="1">
        <v>5834.0</v>
      </c>
      <c r="P33" s="1">
        <v>39.0</v>
      </c>
      <c r="Q33" s="1">
        <v>102.0</v>
      </c>
      <c r="R33" s="1">
        <v>430.0</v>
      </c>
      <c r="S33" s="2" t="s">
        <v>97</v>
      </c>
      <c r="T33" s="1">
        <v>33800.0</v>
      </c>
    </row>
    <row r="34" ht="15.75" customHeight="1">
      <c r="A34" s="1" t="s">
        <v>125</v>
      </c>
      <c r="B34" s="1" t="s">
        <v>126</v>
      </c>
      <c r="C34" s="1" t="str">
        <f t="shared" si="1"/>
        <v>Lego</v>
      </c>
      <c r="D34" s="1" t="str">
        <f t="shared" si="8"/>
        <v>She Built That</v>
      </c>
      <c r="E34" s="1">
        <v>2025.0</v>
      </c>
      <c r="F34" s="3">
        <v>45812.0</v>
      </c>
      <c r="G34" s="1" t="s">
        <v>23</v>
      </c>
      <c r="H34" s="6">
        <v>0.085873932</v>
      </c>
      <c r="I34" s="6">
        <v>0.0867890045046806</v>
      </c>
      <c r="J34" s="4">
        <v>0.031731367111206</v>
      </c>
      <c r="L34" s="1">
        <f t="shared" si="2"/>
        <v>0.06813143454</v>
      </c>
      <c r="M34" s="1">
        <f t="shared" si="10"/>
        <v>0.06813143454</v>
      </c>
      <c r="N34" s="5" t="s">
        <v>127</v>
      </c>
      <c r="O34" s="1">
        <v>5834.0</v>
      </c>
      <c r="P34" s="1">
        <v>39.0</v>
      </c>
      <c r="Q34" s="1">
        <v>102.0</v>
      </c>
      <c r="R34" s="1">
        <v>430.0</v>
      </c>
      <c r="S34" s="2" t="s">
        <v>97</v>
      </c>
      <c r="T34" s="1">
        <v>33800.0</v>
      </c>
    </row>
    <row r="35" ht="15.75" customHeight="1">
      <c r="A35" s="1" t="s">
        <v>128</v>
      </c>
      <c r="B35" s="1" t="s">
        <v>129</v>
      </c>
      <c r="C35" s="1" t="str">
        <f t="shared" si="1"/>
        <v>Lego</v>
      </c>
      <c r="D35" s="1" t="str">
        <f t="shared" si="8"/>
        <v>She Built That</v>
      </c>
      <c r="E35" s="1">
        <v>2025.0</v>
      </c>
      <c r="F35" s="3">
        <v>45812.0</v>
      </c>
      <c r="G35" s="1" t="s">
        <v>31</v>
      </c>
      <c r="K35" s="6">
        <v>1.29930922412313E-4</v>
      </c>
      <c r="L35" s="1">
        <f t="shared" si="2"/>
        <v>0</v>
      </c>
      <c r="M35" s="1">
        <f t="shared" ref="M35:M41" si="11">K35</f>
        <v>0.0001299309224</v>
      </c>
      <c r="N35" s="5" t="s">
        <v>130</v>
      </c>
      <c r="O35" s="1">
        <v>5294.0</v>
      </c>
      <c r="P35" s="1">
        <v>29.0</v>
      </c>
      <c r="Q35" s="1">
        <v>3.0</v>
      </c>
      <c r="R35" s="1">
        <v>64.0</v>
      </c>
      <c r="S35" s="2" t="s">
        <v>97</v>
      </c>
      <c r="T35" s="1">
        <v>33800.0</v>
      </c>
    </row>
    <row r="36">
      <c r="A36" s="1" t="s">
        <v>131</v>
      </c>
      <c r="B36" s="1" t="s">
        <v>132</v>
      </c>
      <c r="C36" s="1" t="str">
        <f t="shared" si="1"/>
        <v>Lego</v>
      </c>
      <c r="D36" s="1" t="str">
        <f t="shared" si="8"/>
        <v>She Built That</v>
      </c>
      <c r="E36" s="1">
        <v>2025.0</v>
      </c>
      <c r="F36" s="3">
        <v>45812.0</v>
      </c>
      <c r="G36" s="1" t="s">
        <v>31</v>
      </c>
      <c r="K36" s="6">
        <v>2.54728191066533E-4</v>
      </c>
      <c r="L36" s="1">
        <f t="shared" si="2"/>
        <v>0</v>
      </c>
      <c r="M36" s="1">
        <f t="shared" si="11"/>
        <v>0.0002547281911</v>
      </c>
      <c r="N36" s="5" t="s">
        <v>133</v>
      </c>
      <c r="O36" s="1">
        <v>8425.0</v>
      </c>
      <c r="P36" s="1">
        <v>79.0</v>
      </c>
      <c r="Q36" s="1">
        <v>2.0</v>
      </c>
      <c r="R36" s="1">
        <v>285.0</v>
      </c>
      <c r="S36" s="2" t="s">
        <v>97</v>
      </c>
      <c r="T36" s="1">
        <v>33800.0</v>
      </c>
    </row>
    <row r="37" ht="15.75" customHeight="1">
      <c r="A37" s="1" t="s">
        <v>134</v>
      </c>
      <c r="B37" s="1" t="s">
        <v>135</v>
      </c>
      <c r="C37" s="1" t="str">
        <f t="shared" si="1"/>
        <v>Patagonia</v>
      </c>
      <c r="D37" s="1" t="str">
        <f t="shared" si="8"/>
        <v>Human Powered_Worn Wear Snow Tour</v>
      </c>
      <c r="E37" s="1">
        <v>2026.0</v>
      </c>
      <c r="F37" s="3">
        <v>46036.0</v>
      </c>
      <c r="G37" s="1" t="s">
        <v>31</v>
      </c>
      <c r="K37" s="4">
        <v>0.993308067321777</v>
      </c>
      <c r="L37" s="1">
        <f t="shared" si="2"/>
        <v>0</v>
      </c>
      <c r="M37" s="1">
        <f t="shared" si="11"/>
        <v>0.9933080673</v>
      </c>
      <c r="N37" s="5" t="s">
        <v>136</v>
      </c>
      <c r="O37" s="1">
        <v>11900.0</v>
      </c>
      <c r="P37" s="1">
        <v>65.0</v>
      </c>
      <c r="Q37" s="1">
        <v>7.0</v>
      </c>
      <c r="R37" s="1">
        <v>665.0</v>
      </c>
      <c r="S37" s="2" t="s">
        <v>137</v>
      </c>
      <c r="T37" s="1">
        <v>2500.0</v>
      </c>
    </row>
    <row r="38" ht="15.75" customHeight="1">
      <c r="A38" s="1" t="s">
        <v>138</v>
      </c>
      <c r="B38" s="1" t="s">
        <v>139</v>
      </c>
      <c r="C38" s="1" t="str">
        <f t="shared" si="1"/>
        <v>Patagonia</v>
      </c>
      <c r="D38" s="1" t="str">
        <f t="shared" si="8"/>
        <v>Human Powered_Worn Wear Snow Tour</v>
      </c>
      <c r="E38" s="1">
        <v>2026.0</v>
      </c>
      <c r="F38" s="3">
        <v>46036.0</v>
      </c>
      <c r="G38" s="1" t="s">
        <v>31</v>
      </c>
      <c r="K38" s="6">
        <v>0.0053374352864921</v>
      </c>
      <c r="L38" s="1">
        <f t="shared" si="2"/>
        <v>0</v>
      </c>
      <c r="M38" s="1">
        <f t="shared" si="11"/>
        <v>0.005337435286</v>
      </c>
      <c r="N38" s="5" t="s">
        <v>140</v>
      </c>
      <c r="O38" s="1">
        <v>2081.0</v>
      </c>
      <c r="P38" s="1">
        <v>21.0</v>
      </c>
      <c r="Q38" s="1">
        <v>0.0</v>
      </c>
      <c r="R38" s="1">
        <v>46.0</v>
      </c>
      <c r="S38" s="2" t="s">
        <v>137</v>
      </c>
      <c r="T38" s="1">
        <v>2500.0</v>
      </c>
    </row>
    <row r="39" ht="15.75" customHeight="1">
      <c r="A39" s="1" t="s">
        <v>141</v>
      </c>
      <c r="B39" s="1" t="s">
        <v>142</v>
      </c>
      <c r="C39" s="1" t="str">
        <f t="shared" si="1"/>
        <v>Patagonia</v>
      </c>
      <c r="D39" s="1" t="str">
        <f t="shared" si="8"/>
        <v>Made Without PFAS_PFAS Free</v>
      </c>
      <c r="E39" s="1">
        <v>2025.0</v>
      </c>
      <c r="F39" s="3">
        <v>45731.0</v>
      </c>
      <c r="G39" s="1" t="s">
        <v>31</v>
      </c>
      <c r="K39" s="6">
        <v>4.205018049106E-4</v>
      </c>
      <c r="L39" s="1">
        <f t="shared" si="2"/>
        <v>0</v>
      </c>
      <c r="M39" s="1">
        <f t="shared" si="11"/>
        <v>0.0004205018049</v>
      </c>
      <c r="N39" s="5" t="s">
        <v>143</v>
      </c>
      <c r="O39" s="1">
        <v>1557.0</v>
      </c>
      <c r="P39" s="1">
        <v>22.0</v>
      </c>
      <c r="Q39" s="1">
        <v>1.0</v>
      </c>
      <c r="R39" s="1">
        <v>60.0</v>
      </c>
      <c r="S39" s="2" t="s">
        <v>137</v>
      </c>
      <c r="T39" s="1">
        <v>2500.0</v>
      </c>
    </row>
    <row r="40" ht="15.75" customHeight="1">
      <c r="A40" s="1" t="s">
        <v>144</v>
      </c>
      <c r="B40" s="1" t="s">
        <v>145</v>
      </c>
      <c r="C40" s="1" t="str">
        <f t="shared" si="1"/>
        <v>Patagonia</v>
      </c>
      <c r="D40" s="1" t="str">
        <f t="shared" si="8"/>
        <v>Made Without PFAS_PFAS Free</v>
      </c>
      <c r="E40" s="1">
        <v>2025.0</v>
      </c>
      <c r="F40" s="3">
        <v>45731.0</v>
      </c>
      <c r="G40" s="1" t="s">
        <v>31</v>
      </c>
      <c r="K40" s="6">
        <v>0.00149936217349022</v>
      </c>
      <c r="L40" s="1">
        <f t="shared" si="2"/>
        <v>0</v>
      </c>
      <c r="M40" s="1">
        <f t="shared" si="11"/>
        <v>0.001499362173</v>
      </c>
      <c r="N40" s="5" t="s">
        <v>146</v>
      </c>
      <c r="O40" s="1">
        <v>1760.0</v>
      </c>
      <c r="P40" s="1">
        <v>25.0</v>
      </c>
      <c r="Q40" s="1">
        <v>0.0</v>
      </c>
      <c r="R40" s="1">
        <v>63.0</v>
      </c>
      <c r="S40" s="2" t="s">
        <v>137</v>
      </c>
      <c r="T40" s="1">
        <v>2500.0</v>
      </c>
    </row>
    <row r="41" ht="15.75" customHeight="1">
      <c r="A41" s="1" t="s">
        <v>147</v>
      </c>
      <c r="B41" s="1" t="s">
        <v>148</v>
      </c>
      <c r="C41" s="1" t="str">
        <f t="shared" si="1"/>
        <v>Patagonia</v>
      </c>
      <c r="D41" s="1" t="str">
        <f t="shared" si="8"/>
        <v>Made Without PFAS_PFAS Free</v>
      </c>
      <c r="E41" s="1">
        <v>2025.0</v>
      </c>
      <c r="F41" s="3">
        <v>45731.0</v>
      </c>
      <c r="G41" s="1" t="s">
        <v>31</v>
      </c>
      <c r="K41" s="6">
        <v>1.15588532935362E-4</v>
      </c>
      <c r="L41" s="1">
        <f t="shared" si="2"/>
        <v>0</v>
      </c>
      <c r="M41" s="1">
        <f t="shared" si="11"/>
        <v>0.0001155885329</v>
      </c>
      <c r="N41" s="5" t="s">
        <v>149</v>
      </c>
      <c r="O41" s="1">
        <v>7349.0</v>
      </c>
      <c r="P41" s="1">
        <v>51.0</v>
      </c>
      <c r="Q41" s="1">
        <v>0.0</v>
      </c>
      <c r="R41" s="1">
        <v>506.0</v>
      </c>
      <c r="S41" s="2" t="s">
        <v>137</v>
      </c>
      <c r="T41" s="1">
        <v>2500.0</v>
      </c>
    </row>
    <row r="42" ht="15.75" customHeight="1">
      <c r="A42" s="1" t="s">
        <v>150</v>
      </c>
      <c r="B42" s="1" t="s">
        <v>151</v>
      </c>
      <c r="C42" s="1" t="str">
        <f t="shared" si="1"/>
        <v>YSL Beauty</v>
      </c>
      <c r="D42" s="1" t="str">
        <f t="shared" si="8"/>
        <v>Libre Berry Crush</v>
      </c>
      <c r="E42" s="1">
        <v>2026.0</v>
      </c>
      <c r="F42" s="3">
        <v>46037.0</v>
      </c>
      <c r="G42" s="1" t="s">
        <v>23</v>
      </c>
      <c r="H42" s="4">
        <v>0.012984256260097</v>
      </c>
      <c r="I42" s="4">
        <v>0.0590795464813709</v>
      </c>
      <c r="J42" s="4">
        <v>0.456683337688446</v>
      </c>
      <c r="L42" s="1">
        <f t="shared" si="2"/>
        <v>0.1762490468</v>
      </c>
      <c r="M42" s="1">
        <f t="shared" ref="M42:M46" si="12">(H42+I42+J42)/3</f>
        <v>0.1762490468</v>
      </c>
      <c r="N42" s="5" t="s">
        <v>152</v>
      </c>
      <c r="O42" s="1">
        <v>586287.0</v>
      </c>
      <c r="P42" s="1">
        <v>3515.0</v>
      </c>
      <c r="Q42" s="1">
        <v>5989.0</v>
      </c>
      <c r="R42" s="1">
        <v>20100.0</v>
      </c>
      <c r="S42" s="2" t="s">
        <v>153</v>
      </c>
      <c r="T42" s="1">
        <v>9000.0</v>
      </c>
    </row>
    <row r="43" ht="15.75" customHeight="1">
      <c r="A43" s="1" t="s">
        <v>154</v>
      </c>
      <c r="B43" s="1" t="s">
        <v>155</v>
      </c>
      <c r="C43" s="1" t="str">
        <f t="shared" si="1"/>
        <v>YSL Beauty</v>
      </c>
      <c r="D43" s="1" t="str">
        <f t="shared" si="8"/>
        <v>Libre Berry Crush</v>
      </c>
      <c r="E43" s="1">
        <v>2026.0</v>
      </c>
      <c r="F43" s="3">
        <v>46037.0</v>
      </c>
      <c r="G43" s="1" t="s">
        <v>23</v>
      </c>
      <c r="H43" s="6">
        <v>0.045813933</v>
      </c>
      <c r="I43" s="4">
        <v>0.185748130083084</v>
      </c>
      <c r="J43" s="4">
        <v>0.205491602420806</v>
      </c>
      <c r="L43" s="1">
        <f t="shared" si="2"/>
        <v>0.1456845552</v>
      </c>
      <c r="M43" s="1">
        <f t="shared" si="12"/>
        <v>0.1456845552</v>
      </c>
      <c r="N43" s="5" t="s">
        <v>152</v>
      </c>
      <c r="O43" s="1">
        <v>586287.0</v>
      </c>
      <c r="P43" s="1">
        <v>3515.0</v>
      </c>
      <c r="Q43" s="1">
        <v>5989.0</v>
      </c>
      <c r="R43" s="1">
        <v>20100.0</v>
      </c>
      <c r="S43" s="2" t="s">
        <v>153</v>
      </c>
      <c r="T43" s="1">
        <v>9000.0</v>
      </c>
    </row>
    <row r="44" ht="15.75" customHeight="1">
      <c r="A44" s="1" t="s">
        <v>156</v>
      </c>
      <c r="B44" s="1" t="s">
        <v>157</v>
      </c>
      <c r="C44" s="1" t="str">
        <f t="shared" si="1"/>
        <v>YSL Beauty</v>
      </c>
      <c r="D44" s="1" t="str">
        <f t="shared" si="8"/>
        <v>Libre Berry Crush</v>
      </c>
      <c r="E44" s="1">
        <v>2026.0</v>
      </c>
      <c r="F44" s="3">
        <v>46037.0</v>
      </c>
      <c r="G44" s="1" t="s">
        <v>23</v>
      </c>
      <c r="H44" s="6">
        <v>0.033767562</v>
      </c>
      <c r="I44" s="4">
        <v>0.143836706876754</v>
      </c>
      <c r="J44" s="6">
        <v>0.0559242069721221</v>
      </c>
      <c r="L44" s="1">
        <f t="shared" si="2"/>
        <v>0.07784282528</v>
      </c>
      <c r="M44" s="1">
        <f t="shared" si="12"/>
        <v>0.07784282528</v>
      </c>
      <c r="N44" s="5" t="s">
        <v>152</v>
      </c>
      <c r="O44" s="1">
        <v>586287.0</v>
      </c>
      <c r="P44" s="1">
        <v>3515.0</v>
      </c>
      <c r="Q44" s="1">
        <v>5989.0</v>
      </c>
      <c r="R44" s="1">
        <v>20100.0</v>
      </c>
      <c r="S44" s="2" t="s">
        <v>153</v>
      </c>
      <c r="T44" s="1">
        <v>9000.0</v>
      </c>
    </row>
    <row r="45" ht="15.75" customHeight="1">
      <c r="A45" s="1" t="s">
        <v>158</v>
      </c>
      <c r="B45" s="1" t="s">
        <v>159</v>
      </c>
      <c r="C45" s="1" t="str">
        <f t="shared" si="1"/>
        <v>YSL Beauty</v>
      </c>
      <c r="D45" s="1" t="str">
        <f t="shared" si="8"/>
        <v>Libre Berry Crush</v>
      </c>
      <c r="E45" s="1">
        <v>2026.0</v>
      </c>
      <c r="F45" s="3">
        <v>46037.0</v>
      </c>
      <c r="G45" s="1" t="s">
        <v>23</v>
      </c>
      <c r="H45" s="6">
        <v>0.088706359</v>
      </c>
      <c r="I45" s="4">
        <v>0.16975413262844</v>
      </c>
      <c r="J45" s="4">
        <v>0.301327913999557</v>
      </c>
      <c r="L45" s="1">
        <f t="shared" si="2"/>
        <v>0.1865961352</v>
      </c>
      <c r="M45" s="1">
        <f t="shared" si="12"/>
        <v>0.1865961352</v>
      </c>
      <c r="N45" s="5" t="s">
        <v>152</v>
      </c>
      <c r="O45" s="1">
        <v>586287.0</v>
      </c>
      <c r="P45" s="1">
        <v>3515.0</v>
      </c>
      <c r="Q45" s="1">
        <v>5989.0</v>
      </c>
      <c r="R45" s="1">
        <v>20100.0</v>
      </c>
      <c r="S45" s="2" t="s">
        <v>153</v>
      </c>
      <c r="T45" s="1">
        <v>9000.0</v>
      </c>
    </row>
    <row r="46" ht="15.75" customHeight="1">
      <c r="A46" s="1" t="s">
        <v>160</v>
      </c>
      <c r="B46" s="1" t="s">
        <v>161</v>
      </c>
      <c r="C46" s="1" t="str">
        <f t="shared" si="1"/>
        <v>YSL Beauty</v>
      </c>
      <c r="D46" s="1" t="str">
        <f t="shared" si="8"/>
        <v>Libre Berry Crush</v>
      </c>
      <c r="E46" s="1">
        <v>2026.0</v>
      </c>
      <c r="F46" s="3">
        <v>46037.0</v>
      </c>
      <c r="G46" s="1" t="s">
        <v>23</v>
      </c>
      <c r="H46" s="6">
        <v>0.007498239</v>
      </c>
      <c r="I46" s="4">
        <v>0.149242386221885</v>
      </c>
      <c r="J46" s="4">
        <v>0.758766889572143</v>
      </c>
      <c r="L46" s="1">
        <f t="shared" si="2"/>
        <v>0.3051691716</v>
      </c>
      <c r="M46" s="1">
        <f t="shared" si="12"/>
        <v>0.3051691716</v>
      </c>
      <c r="N46" s="5" t="s">
        <v>162</v>
      </c>
      <c r="O46" s="1">
        <v>13332.0</v>
      </c>
      <c r="P46" s="1">
        <v>162.0</v>
      </c>
      <c r="Q46" s="1">
        <v>0.0</v>
      </c>
      <c r="R46" s="1">
        <v>49.0</v>
      </c>
      <c r="S46" s="2" t="s">
        <v>153</v>
      </c>
      <c r="T46" s="1">
        <v>9000.0</v>
      </c>
    </row>
    <row r="47" ht="15.75" customHeight="1">
      <c r="A47" s="1" t="s">
        <v>163</v>
      </c>
      <c r="B47" s="1" t="s">
        <v>164</v>
      </c>
      <c r="C47" s="1" t="str">
        <f t="shared" si="1"/>
        <v>YSL Beauty</v>
      </c>
      <c r="D47" s="1" t="str">
        <f t="shared" si="8"/>
        <v>Libre Berry Crush</v>
      </c>
      <c r="E47" s="1">
        <v>2026.0</v>
      </c>
      <c r="F47" s="3">
        <v>46037.0</v>
      </c>
      <c r="G47" s="1" t="s">
        <v>31</v>
      </c>
      <c r="K47" s="4">
        <v>0.998421549797058</v>
      </c>
      <c r="L47" s="1">
        <f t="shared" si="2"/>
        <v>0</v>
      </c>
      <c r="M47" s="1">
        <f t="shared" ref="M47:M49" si="13">K47</f>
        <v>0.9984215498</v>
      </c>
      <c r="N47" s="5" t="s">
        <v>165</v>
      </c>
      <c r="O47" s="1">
        <v>765000.0</v>
      </c>
      <c r="P47" s="1">
        <v>12100.0</v>
      </c>
      <c r="Q47" s="1">
        <v>17900.0</v>
      </c>
      <c r="R47" s="1">
        <v>9360.0</v>
      </c>
      <c r="S47" s="2" t="s">
        <v>153</v>
      </c>
      <c r="T47" s="1">
        <v>9000.0</v>
      </c>
    </row>
    <row r="48" ht="15.75" customHeight="1">
      <c r="A48" s="1" t="s">
        <v>166</v>
      </c>
      <c r="B48" s="1" t="s">
        <v>167</v>
      </c>
      <c r="C48" s="1" t="str">
        <f t="shared" si="1"/>
        <v>YSL Beauty</v>
      </c>
      <c r="D48" s="1" t="str">
        <f t="shared" si="8"/>
        <v>Libre Berry Crush</v>
      </c>
      <c r="E48" s="1">
        <v>2026.0</v>
      </c>
      <c r="F48" s="3">
        <v>46037.0</v>
      </c>
      <c r="G48" s="1" t="s">
        <v>31</v>
      </c>
      <c r="K48" s="4">
        <v>0.99221533536911</v>
      </c>
      <c r="L48" s="1">
        <f t="shared" si="2"/>
        <v>0</v>
      </c>
      <c r="M48" s="1">
        <f t="shared" si="13"/>
        <v>0.9922153354</v>
      </c>
      <c r="N48" s="5" t="s">
        <v>152</v>
      </c>
      <c r="O48" s="1">
        <v>586287.0</v>
      </c>
      <c r="P48" s="1">
        <v>3515.0</v>
      </c>
      <c r="Q48" s="1">
        <v>5989.0</v>
      </c>
      <c r="R48" s="1">
        <v>20100.0</v>
      </c>
      <c r="S48" s="2" t="s">
        <v>153</v>
      </c>
      <c r="T48" s="1">
        <v>9000.0</v>
      </c>
    </row>
    <row r="49" ht="15.75" customHeight="1">
      <c r="A49" s="1" t="s">
        <v>168</v>
      </c>
      <c r="B49" s="1" t="s">
        <v>169</v>
      </c>
      <c r="C49" s="1" t="str">
        <f t="shared" si="1"/>
        <v>YSL Beauty</v>
      </c>
      <c r="D49" s="1" t="str">
        <f t="shared" si="8"/>
        <v>Libre Berry Crush</v>
      </c>
      <c r="E49" s="1">
        <v>2026.0</v>
      </c>
      <c r="F49" s="3">
        <v>46037.0</v>
      </c>
      <c r="G49" s="1" t="s">
        <v>31</v>
      </c>
      <c r="K49" s="6">
        <v>3.73627815861254E-4</v>
      </c>
      <c r="L49" s="1">
        <f t="shared" si="2"/>
        <v>0</v>
      </c>
      <c r="M49" s="1">
        <f t="shared" si="13"/>
        <v>0.0003736278159</v>
      </c>
      <c r="N49" s="5" t="s">
        <v>170</v>
      </c>
      <c r="O49" s="1" t="s">
        <v>40</v>
      </c>
      <c r="P49" s="1">
        <v>30.0</v>
      </c>
      <c r="Q49" s="1">
        <v>6.0</v>
      </c>
      <c r="R49" s="1">
        <v>0.0</v>
      </c>
      <c r="S49" s="2" t="s">
        <v>153</v>
      </c>
      <c r="T49" s="1">
        <v>9000.0</v>
      </c>
    </row>
    <row r="50" ht="15.75" customHeight="1">
      <c r="A50" s="1" t="s">
        <v>171</v>
      </c>
      <c r="B50" s="1" t="s">
        <v>172</v>
      </c>
      <c r="C50" s="1" t="str">
        <f t="shared" si="1"/>
        <v>YSL Beauty</v>
      </c>
      <c r="D50" s="1" t="str">
        <f t="shared" si="8"/>
        <v>MYSLF L’Absolu</v>
      </c>
      <c r="E50" s="1">
        <v>2025.0</v>
      </c>
      <c r="F50" s="3">
        <v>45869.0</v>
      </c>
      <c r="G50" s="1" t="s">
        <v>23</v>
      </c>
      <c r="H50" s="4">
        <v>0.104053363204002</v>
      </c>
      <c r="I50" s="4">
        <v>0.0460646972060203</v>
      </c>
      <c r="J50" s="4">
        <v>0.050916414707899</v>
      </c>
      <c r="L50" s="1">
        <f t="shared" si="2"/>
        <v>0.06701149171</v>
      </c>
      <c r="M50" s="1">
        <f>(H50+I50+J50)/3</f>
        <v>0.06701149171</v>
      </c>
      <c r="N50" s="5" t="s">
        <v>173</v>
      </c>
      <c r="O50" s="1">
        <v>96691.0</v>
      </c>
      <c r="P50" s="1">
        <v>710.0</v>
      </c>
      <c r="Q50" s="1">
        <v>183.0</v>
      </c>
      <c r="R50" s="1">
        <v>3830.0</v>
      </c>
      <c r="S50" s="2" t="s">
        <v>153</v>
      </c>
      <c r="T50" s="1">
        <v>9000.0</v>
      </c>
    </row>
    <row r="51" ht="15.75" customHeight="1">
      <c r="A51" s="1" t="s">
        <v>174</v>
      </c>
      <c r="B51" s="1" t="s">
        <v>175</v>
      </c>
      <c r="C51" s="1" t="str">
        <f t="shared" si="1"/>
        <v>YSL Beauty</v>
      </c>
      <c r="D51" s="1" t="str">
        <f t="shared" si="8"/>
        <v>MYSLF L’Absolu</v>
      </c>
      <c r="E51" s="1">
        <v>2025.0</v>
      </c>
      <c r="F51" s="3">
        <v>45869.0</v>
      </c>
      <c r="G51" s="1" t="s">
        <v>31</v>
      </c>
      <c r="K51" s="6">
        <v>1.211E-4</v>
      </c>
      <c r="L51" s="1">
        <f t="shared" si="2"/>
        <v>0</v>
      </c>
      <c r="M51" s="1">
        <f t="shared" ref="M51:M53" si="14">K51</f>
        <v>0.0001211</v>
      </c>
      <c r="N51" s="5" t="s">
        <v>176</v>
      </c>
      <c r="O51" s="1">
        <v>10000.0</v>
      </c>
      <c r="P51" s="1">
        <v>163.0</v>
      </c>
      <c r="Q51" s="1">
        <v>51.0</v>
      </c>
      <c r="R51" s="1">
        <v>491.0</v>
      </c>
      <c r="S51" s="2" t="s">
        <v>153</v>
      </c>
      <c r="T51" s="1">
        <v>9000.0</v>
      </c>
    </row>
    <row r="52" ht="15.75" customHeight="1">
      <c r="A52" s="1" t="s">
        <v>177</v>
      </c>
      <c r="B52" s="1" t="s">
        <v>178</v>
      </c>
      <c r="C52" s="1" t="str">
        <f t="shared" si="1"/>
        <v>YSL Beauty</v>
      </c>
      <c r="D52" s="1" t="str">
        <f t="shared" si="8"/>
        <v>MYSLF L’Absolu</v>
      </c>
      <c r="E52" s="1">
        <v>2025.0</v>
      </c>
      <c r="F52" s="3">
        <v>45869.0</v>
      </c>
      <c r="G52" s="1" t="s">
        <v>31</v>
      </c>
      <c r="K52" s="6">
        <v>0.9999219</v>
      </c>
      <c r="L52" s="1">
        <f t="shared" si="2"/>
        <v>0</v>
      </c>
      <c r="M52" s="1">
        <f t="shared" si="14"/>
        <v>0.9999219</v>
      </c>
      <c r="N52" s="5" t="s">
        <v>179</v>
      </c>
      <c r="O52" s="1">
        <v>15200.0</v>
      </c>
      <c r="P52" s="1">
        <v>303.0</v>
      </c>
      <c r="Q52" s="1">
        <v>91.0</v>
      </c>
      <c r="R52" s="1">
        <v>1577.0</v>
      </c>
      <c r="S52" s="2" t="s">
        <v>153</v>
      </c>
      <c r="T52" s="1">
        <v>9000.0</v>
      </c>
    </row>
    <row r="53" ht="15.75" customHeight="1">
      <c r="A53" s="1" t="s">
        <v>180</v>
      </c>
      <c r="B53" s="1" t="s">
        <v>181</v>
      </c>
      <c r="C53" s="1" t="str">
        <f t="shared" si="1"/>
        <v>YSL Beauty</v>
      </c>
      <c r="D53" s="1" t="str">
        <f t="shared" si="8"/>
        <v>MYSLF L’Absolu</v>
      </c>
      <c r="E53" s="1">
        <v>2025.0</v>
      </c>
      <c r="F53" s="3">
        <v>45869.0</v>
      </c>
      <c r="G53" s="1" t="s">
        <v>31</v>
      </c>
      <c r="K53" s="6">
        <v>0.9999457</v>
      </c>
      <c r="L53" s="1">
        <f t="shared" si="2"/>
        <v>0</v>
      </c>
      <c r="M53" s="1">
        <f t="shared" si="14"/>
        <v>0.9999457</v>
      </c>
      <c r="N53" s="5" t="s">
        <v>182</v>
      </c>
      <c r="O53" s="1">
        <v>12700.0</v>
      </c>
      <c r="P53" s="1">
        <v>166.0</v>
      </c>
      <c r="Q53" s="1">
        <v>238.0</v>
      </c>
      <c r="R53" s="1">
        <v>1387.0</v>
      </c>
      <c r="S53" s="2" t="s">
        <v>153</v>
      </c>
      <c r="T53" s="1">
        <v>9000.0</v>
      </c>
    </row>
    <row r="54" ht="15.75" customHeight="1">
      <c r="A54" s="1" t="s">
        <v>183</v>
      </c>
      <c r="B54" s="1" t="s">
        <v>184</v>
      </c>
      <c r="C54" s="1" t="str">
        <f t="shared" si="1"/>
        <v>Zalando</v>
      </c>
      <c r="D54" s="1" t="str">
        <f t="shared" si="8"/>
        <v>Lily Collins</v>
      </c>
      <c r="E54" s="1">
        <v>2026.0</v>
      </c>
      <c r="F54" s="3">
        <v>46090.0</v>
      </c>
      <c r="G54" s="1" t="s">
        <v>23</v>
      </c>
      <c r="H54" s="4">
        <v>0.334646701812744</v>
      </c>
      <c r="I54" s="4">
        <v>0.164353296160697</v>
      </c>
      <c r="J54" s="4">
        <v>0.0612516961991786</v>
      </c>
      <c r="L54" s="1">
        <f t="shared" si="2"/>
        <v>0.1867505647</v>
      </c>
      <c r="M54" s="1">
        <f t="shared" ref="M54:M63" si="15">(H54+I54+J54)/3</f>
        <v>0.1867505647</v>
      </c>
      <c r="N54" s="5" t="s">
        <v>185</v>
      </c>
      <c r="O54" s="1">
        <v>1506.0</v>
      </c>
      <c r="P54" s="1">
        <v>38.0</v>
      </c>
      <c r="Q54" s="1">
        <v>15.0</v>
      </c>
      <c r="R54" s="1">
        <v>117.0</v>
      </c>
      <c r="S54" s="2" t="s">
        <v>186</v>
      </c>
      <c r="T54" s="1">
        <v>15309.0</v>
      </c>
    </row>
    <row r="55" ht="15.75" customHeight="1">
      <c r="A55" s="1" t="s">
        <v>187</v>
      </c>
      <c r="B55" s="1" t="s">
        <v>188</v>
      </c>
      <c r="C55" s="1" t="str">
        <f t="shared" si="1"/>
        <v>Zalando</v>
      </c>
      <c r="D55" s="1" t="str">
        <f t="shared" si="8"/>
        <v>Lily Collins</v>
      </c>
      <c r="E55" s="1">
        <v>2026.0</v>
      </c>
      <c r="F55" s="3">
        <v>46090.0</v>
      </c>
      <c r="G55" s="1" t="s">
        <v>23</v>
      </c>
      <c r="H55" s="6">
        <v>0.052657474</v>
      </c>
      <c r="I55" s="4">
        <v>0.147391736507415</v>
      </c>
      <c r="J55" s="6">
        <v>0.0912949293851852</v>
      </c>
      <c r="L55" s="1">
        <f t="shared" si="2"/>
        <v>0.0971147133</v>
      </c>
      <c r="M55" s="1">
        <f t="shared" si="15"/>
        <v>0.0971147133</v>
      </c>
      <c r="N55" s="5" t="s">
        <v>185</v>
      </c>
      <c r="O55" s="1">
        <v>1506.0</v>
      </c>
      <c r="P55" s="1">
        <v>38.0</v>
      </c>
      <c r="Q55" s="1">
        <v>15.0</v>
      </c>
      <c r="R55" s="1">
        <v>117.0</v>
      </c>
      <c r="S55" s="2" t="s">
        <v>186</v>
      </c>
      <c r="T55" s="1">
        <v>15309.0</v>
      </c>
    </row>
    <row r="56" ht="15.75" customHeight="1">
      <c r="A56" s="1" t="s">
        <v>189</v>
      </c>
      <c r="B56" s="1" t="s">
        <v>190</v>
      </c>
      <c r="C56" s="1" t="str">
        <f t="shared" si="1"/>
        <v>Zalando</v>
      </c>
      <c r="D56" s="1" t="str">
        <f t="shared" si="8"/>
        <v>Lily Collins</v>
      </c>
      <c r="E56" s="1">
        <v>2026.0</v>
      </c>
      <c r="F56" s="3">
        <v>46090.0</v>
      </c>
      <c r="G56" s="1" t="s">
        <v>23</v>
      </c>
      <c r="H56" s="4">
        <v>0.105008974671363</v>
      </c>
      <c r="I56" s="4">
        <v>0.343322247266769</v>
      </c>
      <c r="J56" s="4">
        <v>0.2963427901268</v>
      </c>
      <c r="L56" s="1">
        <f t="shared" si="2"/>
        <v>0.2482246707</v>
      </c>
      <c r="M56" s="1">
        <f t="shared" si="15"/>
        <v>0.2482246707</v>
      </c>
      <c r="N56" s="5" t="s">
        <v>185</v>
      </c>
      <c r="O56" s="1">
        <v>1506.0</v>
      </c>
      <c r="P56" s="1">
        <v>38.0</v>
      </c>
      <c r="Q56" s="1">
        <v>15.0</v>
      </c>
      <c r="R56" s="1">
        <v>117.0</v>
      </c>
      <c r="S56" s="2" t="s">
        <v>186</v>
      </c>
      <c r="T56" s="1">
        <v>15309.0</v>
      </c>
    </row>
    <row r="57" ht="15.75" customHeight="1">
      <c r="A57" s="1" t="s">
        <v>191</v>
      </c>
      <c r="B57" s="1" t="s">
        <v>192</v>
      </c>
      <c r="C57" s="1" t="str">
        <f t="shared" si="1"/>
        <v>Zalando</v>
      </c>
      <c r="D57" s="1" t="str">
        <f t="shared" si="8"/>
        <v>Lily Collins</v>
      </c>
      <c r="E57" s="1">
        <v>2026.0</v>
      </c>
      <c r="F57" s="3">
        <v>46090.0</v>
      </c>
      <c r="G57" s="1" t="s">
        <v>23</v>
      </c>
      <c r="H57" s="4">
        <v>0.112156361341476</v>
      </c>
      <c r="I57" s="6">
        <v>0.0501757636666297</v>
      </c>
      <c r="J57" s="4">
        <v>0.141523286700248</v>
      </c>
      <c r="L57" s="1">
        <f t="shared" si="2"/>
        <v>0.1012851372</v>
      </c>
      <c r="M57" s="1">
        <f t="shared" si="15"/>
        <v>0.1012851372</v>
      </c>
      <c r="N57" s="5" t="s">
        <v>185</v>
      </c>
      <c r="O57" s="1">
        <v>1506.0</v>
      </c>
      <c r="P57" s="1">
        <v>38.0</v>
      </c>
      <c r="Q57" s="1">
        <v>15.0</v>
      </c>
      <c r="R57" s="1">
        <v>117.0</v>
      </c>
      <c r="S57" s="2" t="s">
        <v>186</v>
      </c>
      <c r="T57" s="1">
        <v>15309.0</v>
      </c>
    </row>
    <row r="58" ht="15.75" customHeight="1">
      <c r="A58" s="1" t="s">
        <v>193</v>
      </c>
      <c r="B58" s="1" t="s">
        <v>194</v>
      </c>
      <c r="C58" s="1" t="str">
        <f t="shared" si="1"/>
        <v>Zalando</v>
      </c>
      <c r="D58" s="1" t="str">
        <f t="shared" si="8"/>
        <v>Lily Collins</v>
      </c>
      <c r="E58" s="1">
        <v>2026.0</v>
      </c>
      <c r="F58" s="3">
        <v>46090.0</v>
      </c>
      <c r="G58" s="1" t="s">
        <v>23</v>
      </c>
      <c r="H58" s="6">
        <v>0.072659902</v>
      </c>
      <c r="I58" s="4">
        <v>0.335341155529022</v>
      </c>
      <c r="J58" s="4">
        <v>0.126995295286178</v>
      </c>
      <c r="L58" s="1">
        <f t="shared" si="2"/>
        <v>0.1783321176</v>
      </c>
      <c r="M58" s="1">
        <f t="shared" si="15"/>
        <v>0.1783321176</v>
      </c>
      <c r="N58" s="5" t="s">
        <v>185</v>
      </c>
      <c r="O58" s="1">
        <v>1506.0</v>
      </c>
      <c r="P58" s="1">
        <v>38.0</v>
      </c>
      <c r="Q58" s="1">
        <v>15.0</v>
      </c>
      <c r="R58" s="1">
        <v>117.0</v>
      </c>
      <c r="S58" s="2" t="s">
        <v>186</v>
      </c>
      <c r="T58" s="1">
        <v>15309.0</v>
      </c>
    </row>
    <row r="59" ht="15.75" customHeight="1">
      <c r="A59" s="1" t="s">
        <v>195</v>
      </c>
      <c r="B59" s="1" t="s">
        <v>196</v>
      </c>
      <c r="C59" s="1" t="str">
        <f t="shared" si="1"/>
        <v>Zalando</v>
      </c>
      <c r="D59" s="1" t="str">
        <f t="shared" si="8"/>
        <v>Lily Collins</v>
      </c>
      <c r="E59" s="1">
        <v>2026.0</v>
      </c>
      <c r="F59" s="3">
        <v>46090.0</v>
      </c>
      <c r="G59" s="1" t="s">
        <v>23</v>
      </c>
      <c r="H59" s="6">
        <v>0.072191432</v>
      </c>
      <c r="I59" s="4">
        <v>0.640824258327484</v>
      </c>
      <c r="J59" s="4">
        <v>0.384389042854309</v>
      </c>
      <c r="L59" s="1">
        <f t="shared" si="2"/>
        <v>0.3658015777</v>
      </c>
      <c r="M59" s="1">
        <f t="shared" si="15"/>
        <v>0.3658015777</v>
      </c>
      <c r="N59" s="5" t="s">
        <v>185</v>
      </c>
      <c r="O59" s="1">
        <v>1506.0</v>
      </c>
      <c r="P59" s="1">
        <v>38.0</v>
      </c>
      <c r="Q59" s="1">
        <v>15.0</v>
      </c>
      <c r="R59" s="1">
        <v>117.0</v>
      </c>
      <c r="S59" s="2" t="s">
        <v>186</v>
      </c>
      <c r="T59" s="1">
        <v>15309.0</v>
      </c>
    </row>
    <row r="60" ht="15.75" customHeight="1">
      <c r="A60" s="1" t="s">
        <v>197</v>
      </c>
      <c r="B60" s="1" t="s">
        <v>198</v>
      </c>
      <c r="C60" s="1" t="str">
        <f t="shared" si="1"/>
        <v>Zalando</v>
      </c>
      <c r="D60" s="1" t="str">
        <f t="shared" si="8"/>
        <v>What Do I Wear_SS25</v>
      </c>
      <c r="E60" s="1">
        <v>2025.0</v>
      </c>
      <c r="F60" s="3">
        <v>45737.0</v>
      </c>
      <c r="G60" s="1" t="s">
        <v>23</v>
      </c>
      <c r="H60" s="6">
        <v>0.050420687</v>
      </c>
      <c r="I60" s="4">
        <v>0.336387813091278</v>
      </c>
      <c r="J60" s="4">
        <v>0.126668006181716</v>
      </c>
      <c r="L60" s="1">
        <f t="shared" si="2"/>
        <v>0.1711588354</v>
      </c>
      <c r="M60" s="1">
        <f t="shared" si="15"/>
        <v>0.1711588354</v>
      </c>
      <c r="N60" s="5" t="s">
        <v>199</v>
      </c>
      <c r="O60" s="1">
        <v>2730.0</v>
      </c>
      <c r="P60" s="1">
        <v>52.0</v>
      </c>
      <c r="Q60" s="1">
        <v>1.0</v>
      </c>
      <c r="R60" s="1">
        <v>85.0</v>
      </c>
      <c r="S60" s="2" t="s">
        <v>186</v>
      </c>
      <c r="T60" s="1">
        <v>15309.0</v>
      </c>
    </row>
    <row r="61" ht="15.75" customHeight="1">
      <c r="A61" s="1" t="s">
        <v>200</v>
      </c>
      <c r="B61" s="1" t="s">
        <v>201</v>
      </c>
      <c r="C61" s="1" t="str">
        <f t="shared" si="1"/>
        <v>Zalando</v>
      </c>
      <c r="D61" s="1" t="str">
        <f t="shared" si="8"/>
        <v>What Do I Wear_SS25</v>
      </c>
      <c r="E61" s="1">
        <v>2025.0</v>
      </c>
      <c r="F61" s="3">
        <v>45737.0</v>
      </c>
      <c r="G61" s="1" t="s">
        <v>23</v>
      </c>
      <c r="H61" s="4">
        <v>0.0127618676051497</v>
      </c>
      <c r="I61" s="4">
        <v>0.162715598940849</v>
      </c>
      <c r="J61" s="6">
        <v>0.0299445036798715</v>
      </c>
      <c r="L61" s="1">
        <f t="shared" si="2"/>
        <v>0.06847399008</v>
      </c>
      <c r="M61" s="1">
        <f t="shared" si="15"/>
        <v>0.06847399008</v>
      </c>
      <c r="N61" s="5" t="s">
        <v>202</v>
      </c>
      <c r="O61" s="1">
        <v>2730.0</v>
      </c>
      <c r="P61" s="1">
        <v>52.0</v>
      </c>
      <c r="Q61" s="1">
        <v>1.0</v>
      </c>
      <c r="R61" s="1">
        <v>85.0</v>
      </c>
      <c r="S61" s="2" t="s">
        <v>186</v>
      </c>
      <c r="T61" s="1">
        <v>15309.0</v>
      </c>
    </row>
    <row r="62" ht="15.75" customHeight="1">
      <c r="A62" s="1" t="s">
        <v>203</v>
      </c>
      <c r="B62" s="1" t="s">
        <v>204</v>
      </c>
      <c r="C62" s="1" t="str">
        <f t="shared" si="1"/>
        <v>Zalando</v>
      </c>
      <c r="D62" s="1" t="str">
        <f t="shared" si="8"/>
        <v>What Do I Wear_SS25</v>
      </c>
      <c r="E62" s="1">
        <v>2025.0</v>
      </c>
      <c r="F62" s="3">
        <v>45737.0</v>
      </c>
      <c r="G62" s="1" t="s">
        <v>23</v>
      </c>
      <c r="H62" s="6">
        <v>0.03266101</v>
      </c>
      <c r="I62" s="4">
        <v>0.451573252677917</v>
      </c>
      <c r="J62" s="6">
        <v>0.0382308289408683</v>
      </c>
      <c r="L62" s="1">
        <f t="shared" si="2"/>
        <v>0.1741550305</v>
      </c>
      <c r="M62" s="1">
        <f t="shared" si="15"/>
        <v>0.1741550305</v>
      </c>
      <c r="N62" s="5" t="s">
        <v>205</v>
      </c>
      <c r="O62" s="1">
        <v>2730.0</v>
      </c>
      <c r="P62" s="1">
        <v>52.0</v>
      </c>
      <c r="Q62" s="1">
        <v>1.0</v>
      </c>
      <c r="R62" s="1">
        <v>85.0</v>
      </c>
      <c r="S62" s="2" t="s">
        <v>186</v>
      </c>
      <c r="T62" s="1">
        <v>15309.0</v>
      </c>
    </row>
    <row r="63" ht="15.75" customHeight="1">
      <c r="A63" s="1" t="s">
        <v>206</v>
      </c>
      <c r="B63" s="1" t="s">
        <v>207</v>
      </c>
      <c r="C63" s="1" t="str">
        <f t="shared" si="1"/>
        <v>Zalando</v>
      </c>
      <c r="D63" s="1" t="str">
        <f t="shared" si="8"/>
        <v>What Do I Wear_SS25</v>
      </c>
      <c r="E63" s="1">
        <v>2025.0</v>
      </c>
      <c r="F63" s="3">
        <v>45737.0</v>
      </c>
      <c r="G63" s="1" t="s">
        <v>23</v>
      </c>
      <c r="H63" s="4">
        <v>0.0191946309059858</v>
      </c>
      <c r="I63" s="6">
        <v>0.0476763732731342</v>
      </c>
      <c r="J63" s="4">
        <v>0.59170788526535</v>
      </c>
      <c r="L63" s="1">
        <f t="shared" si="2"/>
        <v>0.2195262965</v>
      </c>
      <c r="M63" s="1">
        <f t="shared" si="15"/>
        <v>0.2195262965</v>
      </c>
      <c r="N63" s="5" t="s">
        <v>208</v>
      </c>
      <c r="O63" s="1">
        <v>2730.0</v>
      </c>
      <c r="P63" s="1">
        <v>52.0</v>
      </c>
      <c r="Q63" s="1">
        <v>1.0</v>
      </c>
      <c r="R63" s="1">
        <v>85.0</v>
      </c>
      <c r="S63" s="2" t="s">
        <v>186</v>
      </c>
      <c r="T63" s="1">
        <v>15309.0</v>
      </c>
    </row>
    <row r="64" ht="15.75" customHeight="1">
      <c r="A64" s="1" t="s">
        <v>209</v>
      </c>
      <c r="B64" s="1" t="s">
        <v>210</v>
      </c>
      <c r="C64" s="1" t="str">
        <f t="shared" si="1"/>
        <v>Zalando</v>
      </c>
      <c r="D64" s="1" t="str">
        <f t="shared" si="8"/>
        <v>What Do I Wear_SS25</v>
      </c>
      <c r="E64" s="1">
        <v>2025.0</v>
      </c>
      <c r="F64" s="3">
        <v>45737.0</v>
      </c>
      <c r="G64" s="1" t="s">
        <v>31</v>
      </c>
      <c r="K64" s="4">
        <v>0.350848793983459</v>
      </c>
      <c r="L64" s="1">
        <f t="shared" si="2"/>
        <v>0</v>
      </c>
      <c r="M64" s="1">
        <f t="shared" ref="M64:M65" si="16">K64</f>
        <v>0.350848794</v>
      </c>
      <c r="N64" s="5" t="s">
        <v>211</v>
      </c>
      <c r="O64" s="1">
        <v>6452.0</v>
      </c>
      <c r="P64" s="1">
        <v>86.0</v>
      </c>
      <c r="Q64" s="1">
        <v>2.0</v>
      </c>
      <c r="R64" s="1">
        <v>59.0</v>
      </c>
      <c r="S64" s="2" t="s">
        <v>186</v>
      </c>
      <c r="T64" s="1">
        <v>15309.0</v>
      </c>
    </row>
    <row r="65" ht="15.75" customHeight="1">
      <c r="A65" s="1" t="s">
        <v>212</v>
      </c>
      <c r="B65" s="1" t="s">
        <v>213</v>
      </c>
      <c r="C65" s="1" t="str">
        <f t="shared" si="1"/>
        <v>Zalando</v>
      </c>
      <c r="D65" s="1" t="str">
        <f t="shared" si="8"/>
        <v>What Do I Wear_SS25</v>
      </c>
      <c r="E65" s="1">
        <v>2025.0</v>
      </c>
      <c r="F65" s="3">
        <v>45737.0</v>
      </c>
      <c r="G65" s="1" t="s">
        <v>31</v>
      </c>
      <c r="K65" s="4">
        <v>0.99933236837387</v>
      </c>
      <c r="L65" s="1">
        <f t="shared" si="2"/>
        <v>0</v>
      </c>
      <c r="M65" s="1">
        <f t="shared" si="16"/>
        <v>0.9993323684</v>
      </c>
      <c r="N65" s="5" t="s">
        <v>214</v>
      </c>
      <c r="O65" s="1">
        <v>11500.0</v>
      </c>
      <c r="P65" s="1">
        <v>344.0</v>
      </c>
      <c r="Q65" s="1">
        <v>7.0</v>
      </c>
      <c r="R65" s="1">
        <v>642.0</v>
      </c>
      <c r="S65" s="2" t="s">
        <v>186</v>
      </c>
      <c r="T65" s="1">
        <v>15309.0</v>
      </c>
    </row>
    <row r="66" ht="15.75" customHeight="1">
      <c r="S66" s="9"/>
    </row>
    <row r="67" ht="15.75" customHeight="1">
      <c r="S67" s="9"/>
    </row>
    <row r="68" ht="15.75" customHeight="1">
      <c r="S68" s="9"/>
    </row>
    <row r="69" ht="15.75" customHeight="1">
      <c r="S69" s="9"/>
    </row>
    <row r="70" ht="15.75" customHeight="1">
      <c r="S70" s="9"/>
    </row>
    <row r="71" ht="15.75" customHeight="1">
      <c r="S71" s="9"/>
    </row>
    <row r="72" ht="15.75" customHeight="1">
      <c r="S72" s="9"/>
    </row>
    <row r="73" ht="15.75" customHeight="1">
      <c r="S73" s="9"/>
    </row>
    <row r="74" ht="15.75" customHeight="1">
      <c r="S74" s="9"/>
    </row>
    <row r="75" ht="15.75" customHeight="1">
      <c r="S75" s="9"/>
    </row>
    <row r="76" ht="15.75" customHeight="1">
      <c r="S76" s="9"/>
    </row>
    <row r="77" ht="15.75" customHeight="1">
      <c r="S77" s="9"/>
    </row>
    <row r="78" ht="15.75" customHeight="1">
      <c r="S78" s="9"/>
    </row>
    <row r="79" ht="15.75" customHeight="1">
      <c r="S79" s="9"/>
    </row>
    <row r="80" ht="15.75" customHeight="1">
      <c r="S80" s="9"/>
    </row>
    <row r="81" ht="15.75" customHeight="1">
      <c r="S81" s="9"/>
    </row>
    <row r="82" ht="15.75" customHeight="1">
      <c r="S82" s="9"/>
    </row>
    <row r="83" ht="15.75" customHeight="1">
      <c r="S83" s="9"/>
    </row>
    <row r="84" ht="15.75" customHeight="1">
      <c r="S84" s="9"/>
    </row>
    <row r="85" ht="15.75" customHeight="1">
      <c r="S85" s="9"/>
    </row>
    <row r="86" ht="15.75" customHeight="1">
      <c r="S86" s="9"/>
    </row>
    <row r="87" ht="15.75" customHeight="1">
      <c r="S87" s="9"/>
    </row>
    <row r="88" ht="15.75" customHeight="1">
      <c r="S88" s="9"/>
    </row>
    <row r="89" ht="15.75" customHeight="1">
      <c r="S89" s="9"/>
    </row>
    <row r="90" ht="15.75" customHeight="1">
      <c r="S90" s="9"/>
    </row>
    <row r="91" ht="15.75" customHeight="1">
      <c r="S91" s="9"/>
    </row>
    <row r="92" ht="15.75" customHeight="1">
      <c r="S92" s="9"/>
    </row>
    <row r="93" ht="15.75" customHeight="1">
      <c r="S93" s="9"/>
    </row>
    <row r="94" ht="15.75" customHeight="1">
      <c r="S94" s="9"/>
    </row>
    <row r="95" ht="15.75" customHeight="1">
      <c r="S95" s="9"/>
    </row>
    <row r="96" ht="15.75" customHeight="1">
      <c r="S96" s="9"/>
    </row>
    <row r="97" ht="15.75" customHeight="1">
      <c r="S97" s="9"/>
    </row>
    <row r="98" ht="15.75" customHeight="1">
      <c r="S98" s="9"/>
    </row>
    <row r="99" ht="15.75" customHeight="1">
      <c r="S99" s="9"/>
    </row>
    <row r="100" ht="15.75" customHeight="1">
      <c r="S100" s="9"/>
    </row>
    <row r="101" ht="15.75" customHeight="1">
      <c r="S101" s="9"/>
    </row>
    <row r="102" ht="15.75" customHeight="1">
      <c r="S102" s="9"/>
    </row>
    <row r="103" ht="15.75" customHeight="1">
      <c r="S103" s="9"/>
    </row>
    <row r="104" ht="15.75" customHeight="1">
      <c r="S104" s="9"/>
    </row>
    <row r="105" ht="15.75" customHeight="1">
      <c r="S105" s="9"/>
    </row>
    <row r="106" ht="15.75" customHeight="1">
      <c r="S106" s="9"/>
    </row>
    <row r="107" ht="15.75" customHeight="1">
      <c r="S107" s="9"/>
    </row>
    <row r="108" ht="15.75" customHeight="1">
      <c r="S108" s="9"/>
    </row>
    <row r="109" ht="15.75" customHeight="1">
      <c r="S109" s="9"/>
    </row>
    <row r="110" ht="15.75" customHeight="1">
      <c r="S110" s="9"/>
    </row>
    <row r="111" ht="15.75" customHeight="1">
      <c r="S111" s="9"/>
    </row>
    <row r="112" ht="15.75" customHeight="1">
      <c r="S112" s="9"/>
    </row>
    <row r="113" ht="15.75" customHeight="1">
      <c r="S113" s="9"/>
    </row>
    <row r="114" ht="15.75" customHeight="1">
      <c r="S114" s="9"/>
    </row>
    <row r="115" ht="15.75" customHeight="1">
      <c r="S115" s="9"/>
    </row>
    <row r="116" ht="15.75" customHeight="1">
      <c r="S116" s="9"/>
    </row>
    <row r="117" ht="15.75" customHeight="1">
      <c r="S117" s="9"/>
    </row>
    <row r="118" ht="15.75" customHeight="1">
      <c r="S118" s="9"/>
    </row>
    <row r="119" ht="15.75" customHeight="1">
      <c r="S119" s="9"/>
    </row>
    <row r="120" ht="15.75" customHeight="1">
      <c r="S120" s="9"/>
    </row>
    <row r="121" ht="15.75" customHeight="1">
      <c r="S121" s="9"/>
    </row>
    <row r="122" ht="15.75" customHeight="1">
      <c r="S122" s="9"/>
    </row>
    <row r="123" ht="15.75" customHeight="1">
      <c r="S123" s="9"/>
    </row>
    <row r="124" ht="15.75" customHeight="1">
      <c r="S124" s="9"/>
    </row>
    <row r="125" ht="15.75" customHeight="1">
      <c r="S125" s="9"/>
    </row>
    <row r="126" ht="15.75" customHeight="1">
      <c r="S126" s="9"/>
    </row>
    <row r="127" ht="15.75" customHeight="1">
      <c r="S127" s="9"/>
    </row>
    <row r="128" ht="15.75" customHeight="1">
      <c r="S128" s="9"/>
    </row>
    <row r="129" ht="15.75" customHeight="1">
      <c r="S129" s="9"/>
    </row>
    <row r="130" ht="15.75" customHeight="1">
      <c r="S130" s="9"/>
    </row>
    <row r="131" ht="15.75" customHeight="1">
      <c r="S131" s="9"/>
    </row>
    <row r="132" ht="15.75" customHeight="1">
      <c r="S132" s="9"/>
    </row>
    <row r="133" ht="15.75" customHeight="1">
      <c r="S133" s="9"/>
    </row>
    <row r="134" ht="15.75" customHeight="1">
      <c r="S134" s="9"/>
    </row>
    <row r="135" ht="15.75" customHeight="1">
      <c r="S135" s="9"/>
    </row>
    <row r="136" ht="15.75" customHeight="1">
      <c r="S136" s="9"/>
    </row>
    <row r="137" ht="15.75" customHeight="1">
      <c r="S137" s="9"/>
    </row>
    <row r="138" ht="15.75" customHeight="1">
      <c r="S138" s="9"/>
    </row>
    <row r="139" ht="15.75" customHeight="1">
      <c r="S139" s="9"/>
    </row>
    <row r="140" ht="15.75" customHeight="1">
      <c r="S140" s="9"/>
    </row>
    <row r="141" ht="15.75" customHeight="1">
      <c r="S141" s="9"/>
    </row>
    <row r="142" ht="15.75" customHeight="1">
      <c r="S142" s="9"/>
    </row>
    <row r="143" ht="15.75" customHeight="1">
      <c r="S143" s="9"/>
    </row>
    <row r="144" ht="15.75" customHeight="1">
      <c r="S144" s="9"/>
    </row>
    <row r="145" ht="15.75" customHeight="1">
      <c r="S145" s="9"/>
    </row>
    <row r="146" ht="15.75" customHeight="1">
      <c r="S146" s="9"/>
    </row>
    <row r="147" ht="15.75" customHeight="1">
      <c r="S147" s="9"/>
    </row>
    <row r="148" ht="15.75" customHeight="1">
      <c r="S148" s="9"/>
    </row>
    <row r="149" ht="15.75" customHeight="1">
      <c r="S149" s="9"/>
    </row>
    <row r="150" ht="15.75" customHeight="1">
      <c r="S150" s="9"/>
    </row>
    <row r="151" ht="15.75" customHeight="1">
      <c r="S151" s="9"/>
    </row>
    <row r="152" ht="15.75" customHeight="1">
      <c r="S152" s="9"/>
    </row>
    <row r="153" ht="15.75" customHeight="1">
      <c r="S153" s="9"/>
    </row>
    <row r="154" ht="15.75" customHeight="1">
      <c r="S154" s="9"/>
    </row>
    <row r="155" ht="15.75" customHeight="1">
      <c r="S155" s="9"/>
    </row>
    <row r="156" ht="15.75" customHeight="1">
      <c r="S156" s="9"/>
    </row>
    <row r="157" ht="15.75" customHeight="1">
      <c r="S157" s="9"/>
    </row>
    <row r="158" ht="15.75" customHeight="1">
      <c r="S158" s="9"/>
    </row>
    <row r="159" ht="15.75" customHeight="1">
      <c r="S159" s="9"/>
    </row>
    <row r="160" ht="15.75" customHeight="1">
      <c r="S160" s="9"/>
    </row>
    <row r="161" ht="15.75" customHeight="1">
      <c r="S161" s="9"/>
    </row>
    <row r="162" ht="15.75" customHeight="1">
      <c r="S162" s="9"/>
    </row>
    <row r="163" ht="15.75" customHeight="1">
      <c r="S163" s="9"/>
    </row>
    <row r="164" ht="15.75" customHeight="1">
      <c r="S164" s="9"/>
    </row>
    <row r="165" ht="15.75" customHeight="1">
      <c r="S165" s="9"/>
    </row>
    <row r="166" ht="15.75" customHeight="1">
      <c r="S166" s="9"/>
    </row>
    <row r="167" ht="15.75" customHeight="1">
      <c r="S167" s="9"/>
    </row>
    <row r="168" ht="15.75" customHeight="1">
      <c r="S168" s="9"/>
    </row>
    <row r="169" ht="15.75" customHeight="1">
      <c r="S169" s="9"/>
    </row>
    <row r="170" ht="15.75" customHeight="1">
      <c r="S170" s="9"/>
    </row>
    <row r="171" ht="15.75" customHeight="1">
      <c r="S171" s="9"/>
    </row>
    <row r="172" ht="15.75" customHeight="1">
      <c r="S172" s="9"/>
    </row>
    <row r="173" ht="15.75" customHeight="1">
      <c r="S173" s="9"/>
    </row>
    <row r="174" ht="15.75" customHeight="1">
      <c r="S174" s="9"/>
    </row>
    <row r="175" ht="15.75" customHeight="1">
      <c r="S175" s="9"/>
    </row>
    <row r="176" ht="15.75" customHeight="1">
      <c r="S176" s="9"/>
    </row>
    <row r="177" ht="15.75" customHeight="1">
      <c r="S177" s="9"/>
    </row>
    <row r="178" ht="15.75" customHeight="1">
      <c r="S178" s="9"/>
    </row>
    <row r="179" ht="15.75" customHeight="1">
      <c r="S179" s="9"/>
    </row>
    <row r="180" ht="15.75" customHeight="1">
      <c r="S180" s="9"/>
    </row>
    <row r="181" ht="15.75" customHeight="1">
      <c r="S181" s="9"/>
    </row>
    <row r="182" ht="15.75" customHeight="1">
      <c r="S182" s="9"/>
    </row>
    <row r="183" ht="15.75" customHeight="1">
      <c r="S183" s="9"/>
    </row>
    <row r="184" ht="15.75" customHeight="1">
      <c r="S184" s="9"/>
    </row>
    <row r="185" ht="15.75" customHeight="1">
      <c r="S185" s="9"/>
    </row>
    <row r="186" ht="15.75" customHeight="1">
      <c r="S186" s="9"/>
    </row>
    <row r="187" ht="15.75" customHeight="1">
      <c r="S187" s="9"/>
    </row>
    <row r="188" ht="15.75" customHeight="1">
      <c r="S188" s="9"/>
    </row>
    <row r="189" ht="15.75" customHeight="1">
      <c r="S189" s="9"/>
    </row>
    <row r="190" ht="15.75" customHeight="1">
      <c r="S190" s="9"/>
    </row>
    <row r="191" ht="15.75" customHeight="1">
      <c r="S191" s="9"/>
    </row>
    <row r="192" ht="15.75" customHeight="1">
      <c r="S192" s="9"/>
    </row>
    <row r="193" ht="15.75" customHeight="1">
      <c r="S193" s="9"/>
    </row>
    <row r="194" ht="15.75" customHeight="1">
      <c r="S194" s="9"/>
    </row>
    <row r="195" ht="15.75" customHeight="1">
      <c r="S195" s="9"/>
    </row>
    <row r="196" ht="15.75" customHeight="1">
      <c r="S196" s="9"/>
    </row>
    <row r="197" ht="15.75" customHeight="1">
      <c r="S197" s="9"/>
    </row>
    <row r="198" ht="15.75" customHeight="1">
      <c r="S198" s="9"/>
    </row>
    <row r="199" ht="15.75" customHeight="1">
      <c r="S199" s="9"/>
    </row>
    <row r="200" ht="15.75" customHeight="1">
      <c r="S200" s="9"/>
    </row>
    <row r="201" ht="15.75" customHeight="1">
      <c r="S201" s="9"/>
    </row>
    <row r="202" ht="15.75" customHeight="1">
      <c r="S202" s="9"/>
    </row>
    <row r="203" ht="15.75" customHeight="1">
      <c r="S203" s="9"/>
    </row>
    <row r="204" ht="15.75" customHeight="1">
      <c r="S204" s="9"/>
    </row>
    <row r="205" ht="15.75" customHeight="1">
      <c r="S205" s="9"/>
    </row>
    <row r="206" ht="15.75" customHeight="1">
      <c r="S206" s="9"/>
    </row>
    <row r="207" ht="15.75" customHeight="1">
      <c r="S207" s="9"/>
    </row>
    <row r="208" ht="15.75" customHeight="1">
      <c r="S208" s="9"/>
    </row>
    <row r="209" ht="15.75" customHeight="1">
      <c r="S209" s="9"/>
    </row>
    <row r="210" ht="15.75" customHeight="1">
      <c r="S210" s="9"/>
    </row>
    <row r="211" ht="15.75" customHeight="1">
      <c r="S211" s="9"/>
    </row>
    <row r="212" ht="15.75" customHeight="1">
      <c r="S212" s="9"/>
    </row>
    <row r="213" ht="15.75" customHeight="1">
      <c r="S213" s="9"/>
    </row>
    <row r="214" ht="15.75" customHeight="1">
      <c r="S214" s="9"/>
    </row>
    <row r="215" ht="15.75" customHeight="1">
      <c r="S215" s="9"/>
    </row>
    <row r="216" ht="15.75" customHeight="1">
      <c r="S216" s="9"/>
    </row>
    <row r="217" ht="15.75" customHeight="1">
      <c r="S217" s="9"/>
    </row>
    <row r="218" ht="15.75" customHeight="1">
      <c r="S218" s="9"/>
    </row>
    <row r="219" ht="15.75" customHeight="1">
      <c r="S219" s="9"/>
    </row>
    <row r="220" ht="15.75" customHeight="1">
      <c r="S220" s="9"/>
    </row>
    <row r="221" ht="15.75" customHeight="1">
      <c r="S221" s="9"/>
    </row>
    <row r="222" ht="15.75" customHeight="1">
      <c r="S222" s="9"/>
    </row>
    <row r="223" ht="15.75" customHeight="1">
      <c r="S223" s="9"/>
    </row>
    <row r="224" ht="15.75" customHeight="1">
      <c r="S224" s="9"/>
    </row>
    <row r="225" ht="15.75" customHeight="1">
      <c r="S225" s="9"/>
    </row>
    <row r="226" ht="15.75" customHeight="1">
      <c r="S226" s="9"/>
    </row>
    <row r="227" ht="15.75" customHeight="1">
      <c r="S227" s="9"/>
    </row>
    <row r="228" ht="15.75" customHeight="1">
      <c r="S228" s="9"/>
    </row>
    <row r="229" ht="15.75" customHeight="1">
      <c r="S229" s="9"/>
    </row>
    <row r="230" ht="15.75" customHeight="1">
      <c r="S230" s="9"/>
    </row>
    <row r="231" ht="15.75" customHeight="1">
      <c r="S231" s="9"/>
    </row>
    <row r="232" ht="15.75" customHeight="1">
      <c r="S232" s="9"/>
    </row>
    <row r="233" ht="15.75" customHeight="1">
      <c r="S233" s="9"/>
    </row>
    <row r="234" ht="15.75" customHeight="1">
      <c r="S234" s="9"/>
    </row>
    <row r="235" ht="15.75" customHeight="1">
      <c r="S235" s="9"/>
    </row>
    <row r="236" ht="15.75" customHeight="1">
      <c r="S236" s="9"/>
    </row>
    <row r="237" ht="15.75" customHeight="1">
      <c r="S237" s="9"/>
    </row>
    <row r="238" ht="15.75" customHeight="1">
      <c r="S238" s="9"/>
    </row>
    <row r="239" ht="15.75" customHeight="1">
      <c r="S239" s="9"/>
    </row>
    <row r="240" ht="15.75" customHeight="1">
      <c r="S240" s="9"/>
    </row>
    <row r="241" ht="15.75" customHeight="1">
      <c r="S241" s="9"/>
    </row>
    <row r="242" ht="15.75" customHeight="1">
      <c r="S242" s="9"/>
    </row>
    <row r="243" ht="15.75" customHeight="1">
      <c r="S243" s="9"/>
    </row>
    <row r="244" ht="15.75" customHeight="1">
      <c r="S244" s="9"/>
    </row>
    <row r="245" ht="15.75" customHeight="1">
      <c r="S245" s="9"/>
    </row>
    <row r="246" ht="15.75" customHeight="1">
      <c r="S246" s="9"/>
    </row>
    <row r="247" ht="15.75" customHeight="1">
      <c r="S247" s="9"/>
    </row>
    <row r="248" ht="15.75" customHeight="1">
      <c r="S248" s="9"/>
    </row>
    <row r="249" ht="15.75" customHeight="1">
      <c r="S249" s="9"/>
    </row>
    <row r="250" ht="15.75" customHeight="1">
      <c r="S250" s="9"/>
    </row>
    <row r="251" ht="15.75" customHeight="1">
      <c r="S251" s="9"/>
    </row>
    <row r="252" ht="15.75" customHeight="1">
      <c r="S252" s="9"/>
    </row>
    <row r="253" ht="15.75" customHeight="1">
      <c r="S253" s="9"/>
    </row>
    <row r="254" ht="15.75" customHeight="1">
      <c r="S254" s="9"/>
    </row>
    <row r="255" ht="15.75" customHeight="1">
      <c r="S255" s="9"/>
    </row>
    <row r="256" ht="15.75" customHeight="1">
      <c r="S256" s="9"/>
    </row>
    <row r="257" ht="15.75" customHeight="1">
      <c r="S257" s="9"/>
    </row>
    <row r="258" ht="15.75" customHeight="1">
      <c r="S258" s="9"/>
    </row>
    <row r="259" ht="15.75" customHeight="1">
      <c r="S259" s="9"/>
    </row>
    <row r="260" ht="15.75" customHeight="1">
      <c r="S260" s="9"/>
    </row>
    <row r="261" ht="15.75" customHeight="1">
      <c r="S261" s="9"/>
    </row>
    <row r="262" ht="15.75" customHeight="1">
      <c r="S262" s="9"/>
    </row>
    <row r="263" ht="15.75" customHeight="1">
      <c r="S263" s="9"/>
    </row>
    <row r="264" ht="15.75" customHeight="1">
      <c r="S264" s="9"/>
    </row>
    <row r="265" ht="15.75" customHeight="1">
      <c r="S265" s="9"/>
    </row>
    <row r="266" ht="15.75" customHeight="1">
      <c r="S266" s="9"/>
    </row>
    <row r="267" ht="15.75" customHeight="1">
      <c r="S267" s="9"/>
    </row>
    <row r="268" ht="15.75" customHeight="1">
      <c r="S268" s="9"/>
    </row>
    <row r="269" ht="15.75" customHeight="1">
      <c r="S269" s="9"/>
    </row>
    <row r="270" ht="15.75" customHeight="1">
      <c r="S270" s="9"/>
    </row>
    <row r="271" ht="15.75" customHeight="1">
      <c r="S271" s="9"/>
    </row>
    <row r="272" ht="15.75" customHeight="1">
      <c r="S272" s="9"/>
    </row>
    <row r="273" ht="15.75" customHeight="1">
      <c r="S273" s="9"/>
    </row>
    <row r="274" ht="15.75" customHeight="1">
      <c r="S274" s="9"/>
    </row>
    <row r="275" ht="15.75" customHeight="1">
      <c r="S275" s="9"/>
    </row>
    <row r="276" ht="15.75" customHeight="1">
      <c r="S276" s="9"/>
    </row>
    <row r="277" ht="15.75" customHeight="1">
      <c r="S277" s="9"/>
    </row>
    <row r="278" ht="15.75" customHeight="1">
      <c r="S278" s="9"/>
    </row>
    <row r="279" ht="15.75" customHeight="1">
      <c r="S279" s="9"/>
    </row>
    <row r="280" ht="15.75" customHeight="1">
      <c r="S280" s="9"/>
    </row>
    <row r="281" ht="15.75" customHeight="1">
      <c r="S281" s="9"/>
    </row>
    <row r="282" ht="15.75" customHeight="1">
      <c r="S282" s="9"/>
    </row>
    <row r="283" ht="15.75" customHeight="1">
      <c r="S283" s="9"/>
    </row>
    <row r="284" ht="15.75" customHeight="1">
      <c r="S284" s="9"/>
    </row>
    <row r="285" ht="15.75" customHeight="1">
      <c r="S285" s="9"/>
    </row>
    <row r="286" ht="15.75" customHeight="1">
      <c r="S286" s="9"/>
    </row>
    <row r="287" ht="15.75" customHeight="1">
      <c r="S287" s="9"/>
    </row>
    <row r="288" ht="15.75" customHeight="1">
      <c r="S288" s="9"/>
    </row>
    <row r="289" ht="15.75" customHeight="1">
      <c r="S289" s="9"/>
    </row>
    <row r="290" ht="15.75" customHeight="1">
      <c r="S290" s="9"/>
    </row>
    <row r="291" ht="15.75" customHeight="1">
      <c r="S291" s="9"/>
    </row>
    <row r="292" ht="15.75" customHeight="1">
      <c r="S292" s="9"/>
    </row>
    <row r="293" ht="15.75" customHeight="1">
      <c r="S293" s="9"/>
    </row>
    <row r="294" ht="15.75" customHeight="1">
      <c r="S294" s="9"/>
    </row>
    <row r="295" ht="15.75" customHeight="1">
      <c r="S295" s="9"/>
    </row>
    <row r="296" ht="15.75" customHeight="1">
      <c r="S296" s="9"/>
    </row>
    <row r="297" ht="15.75" customHeight="1">
      <c r="S297" s="9"/>
    </row>
    <row r="298" ht="15.75" customHeight="1">
      <c r="S298" s="9"/>
    </row>
    <row r="299" ht="15.75" customHeight="1">
      <c r="S299" s="9"/>
    </row>
    <row r="300" ht="15.75" customHeight="1">
      <c r="S300" s="9"/>
    </row>
    <row r="301" ht="15.75" customHeight="1">
      <c r="S301" s="9"/>
    </row>
    <row r="302" ht="15.75" customHeight="1">
      <c r="S302" s="9"/>
    </row>
    <row r="303" ht="15.75" customHeight="1">
      <c r="S303" s="9"/>
    </row>
    <row r="304" ht="15.75" customHeight="1">
      <c r="S304" s="9"/>
    </row>
    <row r="305" ht="15.75" customHeight="1">
      <c r="S305" s="9"/>
    </row>
    <row r="306" ht="15.75" customHeight="1">
      <c r="S306" s="9"/>
    </row>
    <row r="307" ht="15.75" customHeight="1">
      <c r="S307" s="9"/>
    </row>
    <row r="308" ht="15.75" customHeight="1">
      <c r="S308" s="9"/>
    </row>
    <row r="309" ht="15.75" customHeight="1">
      <c r="S309" s="9"/>
    </row>
    <row r="310" ht="15.75" customHeight="1">
      <c r="S310" s="9"/>
    </row>
    <row r="311" ht="15.75" customHeight="1">
      <c r="S311" s="9"/>
    </row>
    <row r="312" ht="15.75" customHeight="1">
      <c r="S312" s="9"/>
    </row>
    <row r="313" ht="15.75" customHeight="1">
      <c r="S313" s="9"/>
    </row>
    <row r="314" ht="15.75" customHeight="1">
      <c r="S314" s="9"/>
    </row>
    <row r="315" ht="15.75" customHeight="1">
      <c r="S315" s="9"/>
    </row>
    <row r="316" ht="15.75" customHeight="1">
      <c r="S316" s="9"/>
    </row>
    <row r="317" ht="15.75" customHeight="1">
      <c r="S317" s="9"/>
    </row>
    <row r="318" ht="15.75" customHeight="1">
      <c r="S318" s="9"/>
    </row>
    <row r="319" ht="15.75" customHeight="1">
      <c r="S319" s="9"/>
    </row>
    <row r="320" ht="15.75" customHeight="1">
      <c r="S320" s="9"/>
    </row>
    <row r="321" ht="15.75" customHeight="1">
      <c r="S321" s="9"/>
    </row>
    <row r="322" ht="15.75" customHeight="1">
      <c r="S322" s="9"/>
    </row>
    <row r="323" ht="15.75" customHeight="1">
      <c r="S323" s="9"/>
    </row>
    <row r="324" ht="15.75" customHeight="1">
      <c r="S324" s="9"/>
    </row>
    <row r="325" ht="15.75" customHeight="1">
      <c r="S325" s="9"/>
    </row>
    <row r="326" ht="15.75" customHeight="1">
      <c r="S326" s="9"/>
    </row>
    <row r="327" ht="15.75" customHeight="1">
      <c r="S327" s="9"/>
    </row>
    <row r="328" ht="15.75" customHeight="1">
      <c r="S328" s="9"/>
    </row>
    <row r="329" ht="15.75" customHeight="1">
      <c r="S329" s="9"/>
    </row>
    <row r="330" ht="15.75" customHeight="1">
      <c r="S330" s="9"/>
    </row>
    <row r="331" ht="15.75" customHeight="1">
      <c r="S331" s="9"/>
    </row>
    <row r="332" ht="15.75" customHeight="1">
      <c r="S332" s="9"/>
    </row>
    <row r="333" ht="15.75" customHeight="1">
      <c r="S333" s="9"/>
    </row>
    <row r="334" ht="15.75" customHeight="1">
      <c r="S334" s="9"/>
    </row>
    <row r="335" ht="15.75" customHeight="1">
      <c r="S335" s="9"/>
    </row>
    <row r="336" ht="15.75" customHeight="1">
      <c r="S336" s="9"/>
    </row>
    <row r="337" ht="15.75" customHeight="1">
      <c r="S337" s="9"/>
    </row>
    <row r="338" ht="15.75" customHeight="1">
      <c r="S338" s="9"/>
    </row>
    <row r="339" ht="15.75" customHeight="1">
      <c r="S339" s="9"/>
    </row>
    <row r="340" ht="15.75" customHeight="1">
      <c r="S340" s="9"/>
    </row>
    <row r="341" ht="15.75" customHeight="1">
      <c r="S341" s="9"/>
    </row>
    <row r="342" ht="15.75" customHeight="1">
      <c r="S342" s="9"/>
    </row>
    <row r="343" ht="15.75" customHeight="1">
      <c r="S343" s="9"/>
    </row>
    <row r="344" ht="15.75" customHeight="1">
      <c r="S344" s="9"/>
    </row>
    <row r="345" ht="15.75" customHeight="1">
      <c r="S345" s="9"/>
    </row>
    <row r="346" ht="15.75" customHeight="1">
      <c r="S346" s="9"/>
    </row>
    <row r="347" ht="15.75" customHeight="1">
      <c r="S347" s="9"/>
    </row>
    <row r="348" ht="15.75" customHeight="1">
      <c r="S348" s="9"/>
    </row>
    <row r="349" ht="15.75" customHeight="1">
      <c r="S349" s="9"/>
    </row>
    <row r="350" ht="15.75" customHeight="1">
      <c r="S350" s="9"/>
    </row>
    <row r="351" ht="15.75" customHeight="1">
      <c r="S351" s="9"/>
    </row>
    <row r="352" ht="15.75" customHeight="1">
      <c r="S352" s="9"/>
    </row>
    <row r="353" ht="15.75" customHeight="1">
      <c r="S353" s="9"/>
    </row>
    <row r="354" ht="15.75" customHeight="1">
      <c r="S354" s="9"/>
    </row>
    <row r="355" ht="15.75" customHeight="1">
      <c r="S355" s="9"/>
    </row>
    <row r="356" ht="15.75" customHeight="1">
      <c r="S356" s="9"/>
    </row>
    <row r="357" ht="15.75" customHeight="1">
      <c r="S357" s="9"/>
    </row>
    <row r="358" ht="15.75" customHeight="1">
      <c r="S358" s="9"/>
    </row>
    <row r="359" ht="15.75" customHeight="1">
      <c r="S359" s="9"/>
    </row>
    <row r="360" ht="15.75" customHeight="1">
      <c r="S360" s="9"/>
    </row>
    <row r="361" ht="15.75" customHeight="1">
      <c r="S361" s="9"/>
    </row>
    <row r="362" ht="15.75" customHeight="1">
      <c r="S362" s="9"/>
    </row>
    <row r="363" ht="15.75" customHeight="1">
      <c r="S363" s="9"/>
    </row>
    <row r="364" ht="15.75" customHeight="1">
      <c r="S364" s="9"/>
    </row>
    <row r="365" ht="15.75" customHeight="1">
      <c r="S365" s="9"/>
    </row>
    <row r="366" ht="15.75" customHeight="1">
      <c r="S366" s="9"/>
    </row>
    <row r="367" ht="15.75" customHeight="1">
      <c r="S367" s="9"/>
    </row>
    <row r="368" ht="15.75" customHeight="1">
      <c r="S368" s="9"/>
    </row>
    <row r="369" ht="15.75" customHeight="1">
      <c r="S369" s="9"/>
    </row>
    <row r="370" ht="15.75" customHeight="1">
      <c r="S370" s="9"/>
    </row>
    <row r="371" ht="15.75" customHeight="1">
      <c r="S371" s="9"/>
    </row>
    <row r="372" ht="15.75" customHeight="1">
      <c r="S372" s="9"/>
    </row>
    <row r="373" ht="15.75" customHeight="1">
      <c r="S373" s="9"/>
    </row>
    <row r="374" ht="15.75" customHeight="1">
      <c r="S374" s="9"/>
    </row>
    <row r="375" ht="15.75" customHeight="1">
      <c r="S375" s="9"/>
    </row>
    <row r="376" ht="15.75" customHeight="1">
      <c r="S376" s="9"/>
    </row>
    <row r="377" ht="15.75" customHeight="1">
      <c r="S377" s="9"/>
    </row>
    <row r="378" ht="15.75" customHeight="1">
      <c r="S378" s="9"/>
    </row>
    <row r="379" ht="15.75" customHeight="1">
      <c r="S379" s="9"/>
    </row>
    <row r="380" ht="15.75" customHeight="1">
      <c r="S380" s="9"/>
    </row>
    <row r="381" ht="15.75" customHeight="1">
      <c r="S381" s="9"/>
    </row>
    <row r="382" ht="15.75" customHeight="1">
      <c r="S382" s="9"/>
    </row>
    <row r="383" ht="15.75" customHeight="1">
      <c r="S383" s="9"/>
    </row>
    <row r="384" ht="15.75" customHeight="1">
      <c r="S384" s="9"/>
    </row>
    <row r="385" ht="15.75" customHeight="1">
      <c r="S385" s="9"/>
    </row>
    <row r="386" ht="15.75" customHeight="1">
      <c r="S386" s="9"/>
    </row>
    <row r="387" ht="15.75" customHeight="1">
      <c r="S387" s="9"/>
    </row>
    <row r="388" ht="15.75" customHeight="1">
      <c r="S388" s="9"/>
    </row>
    <row r="389" ht="15.75" customHeight="1">
      <c r="S389" s="9"/>
    </row>
    <row r="390" ht="15.75" customHeight="1">
      <c r="S390" s="9"/>
    </row>
    <row r="391" ht="15.75" customHeight="1">
      <c r="S391" s="9"/>
    </row>
    <row r="392" ht="15.75" customHeight="1">
      <c r="S392" s="9"/>
    </row>
    <row r="393" ht="15.75" customHeight="1">
      <c r="S393" s="9"/>
    </row>
    <row r="394" ht="15.75" customHeight="1">
      <c r="S394" s="9"/>
    </row>
    <row r="395" ht="15.75" customHeight="1">
      <c r="S395" s="9"/>
    </row>
    <row r="396" ht="15.75" customHeight="1">
      <c r="S396" s="9"/>
    </row>
    <row r="397" ht="15.75" customHeight="1">
      <c r="S397" s="9"/>
    </row>
    <row r="398" ht="15.75" customHeight="1">
      <c r="S398" s="9"/>
    </row>
    <row r="399" ht="15.75" customHeight="1">
      <c r="S399" s="9"/>
    </row>
    <row r="400" ht="15.75" customHeight="1">
      <c r="S400" s="9"/>
    </row>
    <row r="401" ht="15.75" customHeight="1">
      <c r="S401" s="9"/>
    </row>
    <row r="402" ht="15.75" customHeight="1">
      <c r="S402" s="9"/>
    </row>
    <row r="403" ht="15.75" customHeight="1">
      <c r="S403" s="9"/>
    </row>
    <row r="404" ht="15.75" customHeight="1">
      <c r="S404" s="9"/>
    </row>
    <row r="405" ht="15.75" customHeight="1">
      <c r="S405" s="9"/>
    </row>
    <row r="406" ht="15.75" customHeight="1">
      <c r="S406" s="9"/>
    </row>
    <row r="407" ht="15.75" customHeight="1">
      <c r="S407" s="9"/>
    </row>
    <row r="408" ht="15.75" customHeight="1">
      <c r="S408" s="9"/>
    </row>
    <row r="409" ht="15.75" customHeight="1">
      <c r="S409" s="9"/>
    </row>
    <row r="410" ht="15.75" customHeight="1">
      <c r="S410" s="9"/>
    </row>
    <row r="411" ht="15.75" customHeight="1">
      <c r="S411" s="9"/>
    </row>
    <row r="412" ht="15.75" customHeight="1">
      <c r="S412" s="9"/>
    </row>
    <row r="413" ht="15.75" customHeight="1">
      <c r="S413" s="9"/>
    </row>
    <row r="414" ht="15.75" customHeight="1">
      <c r="S414" s="9"/>
    </row>
    <row r="415" ht="15.75" customHeight="1">
      <c r="S415" s="9"/>
    </row>
    <row r="416" ht="15.75" customHeight="1">
      <c r="S416" s="9"/>
    </row>
    <row r="417" ht="15.75" customHeight="1">
      <c r="S417" s="9"/>
    </row>
    <row r="418" ht="15.75" customHeight="1">
      <c r="S418" s="9"/>
    </row>
    <row r="419" ht="15.75" customHeight="1">
      <c r="S419" s="9"/>
    </row>
    <row r="420" ht="15.75" customHeight="1">
      <c r="S420" s="9"/>
    </row>
    <row r="421" ht="15.75" customHeight="1">
      <c r="S421" s="9"/>
    </row>
    <row r="422" ht="15.75" customHeight="1">
      <c r="S422" s="9"/>
    </row>
    <row r="423" ht="15.75" customHeight="1">
      <c r="S423" s="9"/>
    </row>
    <row r="424" ht="15.75" customHeight="1">
      <c r="S424" s="9"/>
    </row>
    <row r="425" ht="15.75" customHeight="1">
      <c r="S425" s="9"/>
    </row>
    <row r="426" ht="15.75" customHeight="1">
      <c r="S426" s="9"/>
    </row>
    <row r="427" ht="15.75" customHeight="1">
      <c r="S427" s="9"/>
    </row>
    <row r="428" ht="15.75" customHeight="1">
      <c r="S428" s="9"/>
    </row>
    <row r="429" ht="15.75" customHeight="1">
      <c r="S429" s="9"/>
    </row>
    <row r="430" ht="15.75" customHeight="1">
      <c r="S430" s="9"/>
    </row>
    <row r="431" ht="15.75" customHeight="1">
      <c r="S431" s="9"/>
    </row>
    <row r="432" ht="15.75" customHeight="1">
      <c r="S432" s="9"/>
    </row>
    <row r="433" ht="15.75" customHeight="1">
      <c r="S433" s="9"/>
    </row>
    <row r="434" ht="15.75" customHeight="1">
      <c r="S434" s="9"/>
    </row>
    <row r="435" ht="15.75" customHeight="1">
      <c r="S435" s="9"/>
    </row>
    <row r="436" ht="15.75" customHeight="1">
      <c r="S436" s="9"/>
    </row>
    <row r="437" ht="15.75" customHeight="1">
      <c r="S437" s="9"/>
    </row>
    <row r="438" ht="15.75" customHeight="1">
      <c r="S438" s="9"/>
    </row>
    <row r="439" ht="15.75" customHeight="1">
      <c r="S439" s="9"/>
    </row>
    <row r="440" ht="15.75" customHeight="1">
      <c r="S440" s="9"/>
    </row>
    <row r="441" ht="15.75" customHeight="1">
      <c r="S441" s="9"/>
    </row>
    <row r="442" ht="15.75" customHeight="1">
      <c r="S442" s="9"/>
    </row>
    <row r="443" ht="15.75" customHeight="1">
      <c r="S443" s="9"/>
    </row>
    <row r="444" ht="15.75" customHeight="1">
      <c r="S444" s="9"/>
    </row>
    <row r="445" ht="15.75" customHeight="1">
      <c r="S445" s="9"/>
    </row>
    <row r="446" ht="15.75" customHeight="1">
      <c r="S446" s="9"/>
    </row>
    <row r="447" ht="15.75" customHeight="1">
      <c r="S447" s="9"/>
    </row>
    <row r="448" ht="15.75" customHeight="1">
      <c r="S448" s="9"/>
    </row>
    <row r="449" ht="15.75" customHeight="1">
      <c r="S449" s="9"/>
    </row>
    <row r="450" ht="15.75" customHeight="1">
      <c r="S450" s="9"/>
    </row>
    <row r="451" ht="15.75" customHeight="1">
      <c r="S451" s="9"/>
    </row>
    <row r="452" ht="15.75" customHeight="1">
      <c r="S452" s="9"/>
    </row>
    <row r="453" ht="15.75" customHeight="1">
      <c r="S453" s="9"/>
    </row>
    <row r="454" ht="15.75" customHeight="1">
      <c r="S454" s="9"/>
    </row>
    <row r="455" ht="15.75" customHeight="1">
      <c r="S455" s="9"/>
    </row>
    <row r="456" ht="15.75" customHeight="1">
      <c r="S456" s="9"/>
    </row>
    <row r="457" ht="15.75" customHeight="1">
      <c r="S457" s="9"/>
    </row>
    <row r="458" ht="15.75" customHeight="1">
      <c r="S458" s="9"/>
    </row>
    <row r="459" ht="15.75" customHeight="1">
      <c r="S459" s="9"/>
    </row>
    <row r="460" ht="15.75" customHeight="1">
      <c r="S460" s="9"/>
    </row>
    <row r="461" ht="15.75" customHeight="1">
      <c r="S461" s="9"/>
    </row>
    <row r="462" ht="15.75" customHeight="1">
      <c r="S462" s="9"/>
    </row>
    <row r="463" ht="15.75" customHeight="1">
      <c r="S463" s="9"/>
    </row>
    <row r="464" ht="15.75" customHeight="1">
      <c r="S464" s="9"/>
    </row>
    <row r="465" ht="15.75" customHeight="1">
      <c r="S465" s="9"/>
    </row>
    <row r="466" ht="15.75" customHeight="1">
      <c r="S466" s="9"/>
    </row>
    <row r="467" ht="15.75" customHeight="1">
      <c r="S467" s="9"/>
    </row>
    <row r="468" ht="15.75" customHeight="1">
      <c r="S468" s="9"/>
    </row>
    <row r="469" ht="15.75" customHeight="1">
      <c r="S469" s="9"/>
    </row>
    <row r="470" ht="15.75" customHeight="1">
      <c r="S470" s="9"/>
    </row>
    <row r="471" ht="15.75" customHeight="1">
      <c r="S471" s="9"/>
    </row>
    <row r="472" ht="15.75" customHeight="1">
      <c r="S472" s="9"/>
    </row>
    <row r="473" ht="15.75" customHeight="1">
      <c r="S473" s="9"/>
    </row>
    <row r="474" ht="15.75" customHeight="1">
      <c r="S474" s="9"/>
    </row>
    <row r="475" ht="15.75" customHeight="1">
      <c r="S475" s="9"/>
    </row>
    <row r="476" ht="15.75" customHeight="1">
      <c r="S476" s="9"/>
    </row>
    <row r="477" ht="15.75" customHeight="1">
      <c r="S477" s="9"/>
    </row>
    <row r="478" ht="15.75" customHeight="1">
      <c r="S478" s="9"/>
    </row>
    <row r="479" ht="15.75" customHeight="1">
      <c r="S479" s="9"/>
    </row>
    <row r="480" ht="15.75" customHeight="1">
      <c r="S480" s="9"/>
    </row>
    <row r="481" ht="15.75" customHeight="1">
      <c r="S481" s="9"/>
    </row>
    <row r="482" ht="15.75" customHeight="1">
      <c r="S482" s="9"/>
    </row>
    <row r="483" ht="15.75" customHeight="1">
      <c r="S483" s="9"/>
    </row>
    <row r="484" ht="15.75" customHeight="1">
      <c r="S484" s="9"/>
    </row>
    <row r="485" ht="15.75" customHeight="1">
      <c r="S485" s="9"/>
    </row>
    <row r="486" ht="15.75" customHeight="1">
      <c r="S486" s="9"/>
    </row>
    <row r="487" ht="15.75" customHeight="1">
      <c r="S487" s="9"/>
    </row>
    <row r="488" ht="15.75" customHeight="1">
      <c r="S488" s="9"/>
    </row>
    <row r="489" ht="15.75" customHeight="1">
      <c r="S489" s="9"/>
    </row>
    <row r="490" ht="15.75" customHeight="1">
      <c r="S490" s="9"/>
    </row>
    <row r="491" ht="15.75" customHeight="1">
      <c r="S491" s="9"/>
    </row>
    <row r="492" ht="15.75" customHeight="1">
      <c r="S492" s="9"/>
    </row>
    <row r="493" ht="15.75" customHeight="1">
      <c r="S493" s="9"/>
    </row>
    <row r="494" ht="15.75" customHeight="1">
      <c r="S494" s="9"/>
    </row>
    <row r="495" ht="15.75" customHeight="1">
      <c r="S495" s="9"/>
    </row>
    <row r="496" ht="15.75" customHeight="1">
      <c r="S496" s="9"/>
    </row>
    <row r="497" ht="15.75" customHeight="1">
      <c r="S497" s="9"/>
    </row>
    <row r="498" ht="15.75" customHeight="1">
      <c r="S498" s="9"/>
    </row>
    <row r="499" ht="15.75" customHeight="1">
      <c r="S499" s="9"/>
    </row>
    <row r="500" ht="15.75" customHeight="1">
      <c r="S500" s="9"/>
    </row>
    <row r="501" ht="15.75" customHeight="1">
      <c r="S501" s="9"/>
    </row>
    <row r="502" ht="15.75" customHeight="1">
      <c r="S502" s="9"/>
    </row>
    <row r="503" ht="15.75" customHeight="1">
      <c r="S503" s="9"/>
    </row>
    <row r="504" ht="15.75" customHeight="1">
      <c r="S504" s="9"/>
    </row>
    <row r="505" ht="15.75" customHeight="1">
      <c r="S505" s="9"/>
    </row>
    <row r="506" ht="15.75" customHeight="1">
      <c r="S506" s="9"/>
    </row>
    <row r="507" ht="15.75" customHeight="1">
      <c r="S507" s="9"/>
    </row>
    <row r="508" ht="15.75" customHeight="1">
      <c r="S508" s="9"/>
    </row>
    <row r="509" ht="15.75" customHeight="1">
      <c r="S509" s="9"/>
    </row>
    <row r="510" ht="15.75" customHeight="1">
      <c r="S510" s="9"/>
    </row>
    <row r="511" ht="15.75" customHeight="1">
      <c r="S511" s="9"/>
    </row>
    <row r="512" ht="15.75" customHeight="1">
      <c r="S512" s="9"/>
    </row>
    <row r="513" ht="15.75" customHeight="1">
      <c r="S513" s="9"/>
    </row>
    <row r="514" ht="15.75" customHeight="1">
      <c r="S514" s="9"/>
    </row>
    <row r="515" ht="15.75" customHeight="1">
      <c r="S515" s="9"/>
    </row>
    <row r="516" ht="15.75" customHeight="1">
      <c r="S516" s="9"/>
    </row>
    <row r="517" ht="15.75" customHeight="1">
      <c r="S517" s="9"/>
    </row>
    <row r="518" ht="15.75" customHeight="1">
      <c r="S518" s="9"/>
    </row>
    <row r="519" ht="15.75" customHeight="1">
      <c r="S519" s="9"/>
    </row>
    <row r="520" ht="15.75" customHeight="1">
      <c r="S520" s="9"/>
    </row>
    <row r="521" ht="15.75" customHeight="1">
      <c r="S521" s="9"/>
    </row>
    <row r="522" ht="15.75" customHeight="1">
      <c r="S522" s="9"/>
    </row>
    <row r="523" ht="15.75" customHeight="1">
      <c r="S523" s="9"/>
    </row>
    <row r="524" ht="15.75" customHeight="1">
      <c r="S524" s="9"/>
    </row>
    <row r="525" ht="15.75" customHeight="1">
      <c r="S525" s="9"/>
    </row>
    <row r="526" ht="15.75" customHeight="1">
      <c r="S526" s="9"/>
    </row>
    <row r="527" ht="15.75" customHeight="1">
      <c r="S527" s="9"/>
    </row>
    <row r="528" ht="15.75" customHeight="1">
      <c r="S528" s="9"/>
    </row>
    <row r="529" ht="15.75" customHeight="1">
      <c r="S529" s="9"/>
    </row>
    <row r="530" ht="15.75" customHeight="1">
      <c r="S530" s="9"/>
    </row>
    <row r="531" ht="15.75" customHeight="1">
      <c r="S531" s="9"/>
    </row>
    <row r="532" ht="15.75" customHeight="1">
      <c r="S532" s="9"/>
    </row>
    <row r="533" ht="15.75" customHeight="1">
      <c r="S533" s="9"/>
    </row>
    <row r="534" ht="15.75" customHeight="1">
      <c r="S534" s="9"/>
    </row>
    <row r="535" ht="15.75" customHeight="1">
      <c r="S535" s="9"/>
    </row>
    <row r="536" ht="15.75" customHeight="1">
      <c r="S536" s="9"/>
    </row>
    <row r="537" ht="15.75" customHeight="1">
      <c r="S537" s="9"/>
    </row>
    <row r="538" ht="15.75" customHeight="1">
      <c r="S538" s="9"/>
    </row>
    <row r="539" ht="15.75" customHeight="1">
      <c r="S539" s="9"/>
    </row>
    <row r="540" ht="15.75" customHeight="1">
      <c r="S540" s="9"/>
    </row>
    <row r="541" ht="15.75" customHeight="1">
      <c r="S541" s="9"/>
    </row>
    <row r="542" ht="15.75" customHeight="1">
      <c r="S542" s="9"/>
    </row>
    <row r="543" ht="15.75" customHeight="1">
      <c r="S543" s="9"/>
    </row>
    <row r="544" ht="15.75" customHeight="1">
      <c r="S544" s="9"/>
    </row>
    <row r="545" ht="15.75" customHeight="1">
      <c r="S545" s="9"/>
    </row>
    <row r="546" ht="15.75" customHeight="1">
      <c r="S546" s="9"/>
    </row>
    <row r="547" ht="15.75" customHeight="1">
      <c r="S547" s="9"/>
    </row>
    <row r="548" ht="15.75" customHeight="1">
      <c r="S548" s="9"/>
    </row>
    <row r="549" ht="15.75" customHeight="1">
      <c r="S549" s="9"/>
    </row>
    <row r="550" ht="15.75" customHeight="1">
      <c r="S550" s="9"/>
    </row>
    <row r="551" ht="15.75" customHeight="1">
      <c r="S551" s="9"/>
    </row>
    <row r="552" ht="15.75" customHeight="1">
      <c r="S552" s="9"/>
    </row>
    <row r="553" ht="15.75" customHeight="1">
      <c r="S553" s="9"/>
    </row>
    <row r="554" ht="15.75" customHeight="1">
      <c r="S554" s="9"/>
    </row>
    <row r="555" ht="15.75" customHeight="1">
      <c r="S555" s="9"/>
    </row>
    <row r="556" ht="15.75" customHeight="1">
      <c r="S556" s="9"/>
    </row>
    <row r="557" ht="15.75" customHeight="1">
      <c r="S557" s="9"/>
    </row>
    <row r="558" ht="15.75" customHeight="1">
      <c r="S558" s="9"/>
    </row>
    <row r="559" ht="15.75" customHeight="1">
      <c r="S559" s="9"/>
    </row>
    <row r="560" ht="15.75" customHeight="1">
      <c r="S560" s="9"/>
    </row>
    <row r="561" ht="15.75" customHeight="1">
      <c r="S561" s="9"/>
    </row>
    <row r="562" ht="15.75" customHeight="1">
      <c r="S562" s="9"/>
    </row>
    <row r="563" ht="15.75" customHeight="1">
      <c r="S563" s="9"/>
    </row>
    <row r="564" ht="15.75" customHeight="1">
      <c r="S564" s="9"/>
    </row>
    <row r="565" ht="15.75" customHeight="1">
      <c r="S565" s="9"/>
    </row>
    <row r="566" ht="15.75" customHeight="1">
      <c r="S566" s="9"/>
    </row>
    <row r="567" ht="15.75" customHeight="1">
      <c r="S567" s="9"/>
    </row>
    <row r="568" ht="15.75" customHeight="1">
      <c r="S568" s="9"/>
    </row>
    <row r="569" ht="15.75" customHeight="1">
      <c r="S569" s="9"/>
    </row>
    <row r="570" ht="15.75" customHeight="1">
      <c r="S570" s="9"/>
    </row>
    <row r="571" ht="15.75" customHeight="1">
      <c r="S571" s="9"/>
    </row>
    <row r="572" ht="15.75" customHeight="1">
      <c r="S572" s="9"/>
    </row>
    <row r="573" ht="15.75" customHeight="1">
      <c r="S573" s="9"/>
    </row>
    <row r="574" ht="15.75" customHeight="1">
      <c r="S574" s="9"/>
    </row>
    <row r="575" ht="15.75" customHeight="1">
      <c r="S575" s="9"/>
    </row>
    <row r="576" ht="15.75" customHeight="1">
      <c r="S576" s="9"/>
    </row>
    <row r="577" ht="15.75" customHeight="1">
      <c r="S577" s="9"/>
    </row>
    <row r="578" ht="15.75" customHeight="1">
      <c r="S578" s="9"/>
    </row>
    <row r="579" ht="15.75" customHeight="1">
      <c r="S579" s="9"/>
    </row>
    <row r="580" ht="15.75" customHeight="1">
      <c r="S580" s="9"/>
    </row>
    <row r="581" ht="15.75" customHeight="1">
      <c r="S581" s="9"/>
    </row>
    <row r="582" ht="15.75" customHeight="1">
      <c r="S582" s="9"/>
    </row>
    <row r="583" ht="15.75" customHeight="1">
      <c r="S583" s="9"/>
    </row>
    <row r="584" ht="15.75" customHeight="1">
      <c r="S584" s="9"/>
    </row>
    <row r="585" ht="15.75" customHeight="1">
      <c r="S585" s="9"/>
    </row>
    <row r="586" ht="15.75" customHeight="1">
      <c r="S586" s="9"/>
    </row>
    <row r="587" ht="15.75" customHeight="1">
      <c r="S587" s="9"/>
    </row>
    <row r="588" ht="15.75" customHeight="1">
      <c r="S588" s="9"/>
    </row>
    <row r="589" ht="15.75" customHeight="1">
      <c r="S589" s="9"/>
    </row>
    <row r="590" ht="15.75" customHeight="1">
      <c r="S590" s="9"/>
    </row>
    <row r="591" ht="15.75" customHeight="1">
      <c r="S591" s="9"/>
    </row>
    <row r="592" ht="15.75" customHeight="1">
      <c r="S592" s="9"/>
    </row>
    <row r="593" ht="15.75" customHeight="1">
      <c r="S593" s="9"/>
    </row>
    <row r="594" ht="15.75" customHeight="1">
      <c r="S594" s="9"/>
    </row>
    <row r="595" ht="15.75" customHeight="1">
      <c r="S595" s="9"/>
    </row>
    <row r="596" ht="15.75" customHeight="1">
      <c r="S596" s="9"/>
    </row>
    <row r="597" ht="15.75" customHeight="1">
      <c r="S597" s="9"/>
    </row>
    <row r="598" ht="15.75" customHeight="1">
      <c r="S598" s="9"/>
    </row>
    <row r="599" ht="15.75" customHeight="1">
      <c r="S599" s="9"/>
    </row>
    <row r="600" ht="15.75" customHeight="1">
      <c r="S600" s="9"/>
    </row>
    <row r="601" ht="15.75" customHeight="1">
      <c r="S601" s="9"/>
    </row>
    <row r="602" ht="15.75" customHeight="1">
      <c r="S602" s="9"/>
    </row>
    <row r="603" ht="15.75" customHeight="1">
      <c r="S603" s="9"/>
    </row>
    <row r="604" ht="15.75" customHeight="1">
      <c r="S604" s="9"/>
    </row>
    <row r="605" ht="15.75" customHeight="1">
      <c r="S605" s="9"/>
    </row>
    <row r="606" ht="15.75" customHeight="1">
      <c r="S606" s="9"/>
    </row>
    <row r="607" ht="15.75" customHeight="1">
      <c r="S607" s="9"/>
    </row>
    <row r="608" ht="15.75" customHeight="1">
      <c r="S608" s="9"/>
    </row>
    <row r="609" ht="15.75" customHeight="1">
      <c r="S609" s="9"/>
    </row>
    <row r="610" ht="15.75" customHeight="1">
      <c r="S610" s="9"/>
    </row>
    <row r="611" ht="15.75" customHeight="1">
      <c r="S611" s="9"/>
    </row>
    <row r="612" ht="15.75" customHeight="1">
      <c r="S612" s="9"/>
    </row>
    <row r="613" ht="15.75" customHeight="1">
      <c r="S613" s="9"/>
    </row>
    <row r="614" ht="15.75" customHeight="1">
      <c r="S614" s="9"/>
    </row>
    <row r="615" ht="15.75" customHeight="1">
      <c r="S615" s="9"/>
    </row>
    <row r="616" ht="15.75" customHeight="1">
      <c r="S616" s="9"/>
    </row>
    <row r="617" ht="15.75" customHeight="1">
      <c r="S617" s="9"/>
    </row>
    <row r="618" ht="15.75" customHeight="1">
      <c r="S618" s="9"/>
    </row>
    <row r="619" ht="15.75" customHeight="1">
      <c r="S619" s="9"/>
    </row>
    <row r="620" ht="15.75" customHeight="1">
      <c r="S620" s="9"/>
    </row>
    <row r="621" ht="15.75" customHeight="1">
      <c r="S621" s="9"/>
    </row>
    <row r="622" ht="15.75" customHeight="1">
      <c r="S622" s="9"/>
    </row>
    <row r="623" ht="15.75" customHeight="1">
      <c r="S623" s="9"/>
    </row>
    <row r="624" ht="15.75" customHeight="1">
      <c r="S624" s="9"/>
    </row>
    <row r="625" ht="15.75" customHeight="1">
      <c r="S625" s="9"/>
    </row>
    <row r="626" ht="15.75" customHeight="1">
      <c r="S626" s="9"/>
    </row>
    <row r="627" ht="15.75" customHeight="1">
      <c r="S627" s="9"/>
    </row>
    <row r="628" ht="15.75" customHeight="1">
      <c r="S628" s="9"/>
    </row>
    <row r="629" ht="15.75" customHeight="1">
      <c r="S629" s="9"/>
    </row>
    <row r="630" ht="15.75" customHeight="1">
      <c r="S630" s="9"/>
    </row>
    <row r="631" ht="15.75" customHeight="1">
      <c r="S631" s="9"/>
    </row>
    <row r="632" ht="15.75" customHeight="1">
      <c r="S632" s="9"/>
    </row>
    <row r="633" ht="15.75" customHeight="1">
      <c r="S633" s="9"/>
    </row>
    <row r="634" ht="15.75" customHeight="1">
      <c r="S634" s="9"/>
    </row>
    <row r="635" ht="15.75" customHeight="1">
      <c r="S635" s="9"/>
    </row>
    <row r="636" ht="15.75" customHeight="1">
      <c r="S636" s="9"/>
    </row>
    <row r="637" ht="15.75" customHeight="1">
      <c r="S637" s="9"/>
    </row>
    <row r="638" ht="15.75" customHeight="1">
      <c r="S638" s="9"/>
    </row>
    <row r="639" ht="15.75" customHeight="1">
      <c r="S639" s="9"/>
    </row>
    <row r="640" ht="15.75" customHeight="1">
      <c r="S640" s="9"/>
    </row>
    <row r="641" ht="15.75" customHeight="1">
      <c r="S641" s="9"/>
    </row>
    <row r="642" ht="15.75" customHeight="1">
      <c r="S642" s="9"/>
    </row>
    <row r="643" ht="15.75" customHeight="1">
      <c r="S643" s="9"/>
    </row>
    <row r="644" ht="15.75" customHeight="1">
      <c r="S644" s="9"/>
    </row>
    <row r="645" ht="15.75" customHeight="1">
      <c r="S645" s="9"/>
    </row>
    <row r="646" ht="15.75" customHeight="1">
      <c r="S646" s="9"/>
    </row>
    <row r="647" ht="15.75" customHeight="1">
      <c r="S647" s="9"/>
    </row>
    <row r="648" ht="15.75" customHeight="1">
      <c r="S648" s="9"/>
    </row>
    <row r="649" ht="15.75" customHeight="1">
      <c r="S649" s="9"/>
    </row>
    <row r="650" ht="15.75" customHeight="1">
      <c r="S650" s="9"/>
    </row>
    <row r="651" ht="15.75" customHeight="1">
      <c r="S651" s="9"/>
    </row>
    <row r="652" ht="15.75" customHeight="1">
      <c r="S652" s="9"/>
    </row>
    <row r="653" ht="15.75" customHeight="1">
      <c r="S653" s="9"/>
    </row>
    <row r="654" ht="15.75" customHeight="1">
      <c r="S654" s="9"/>
    </row>
    <row r="655" ht="15.75" customHeight="1">
      <c r="S655" s="9"/>
    </row>
    <row r="656" ht="15.75" customHeight="1">
      <c r="S656" s="9"/>
    </row>
    <row r="657" ht="15.75" customHeight="1">
      <c r="S657" s="9"/>
    </row>
    <row r="658" ht="15.75" customHeight="1">
      <c r="S658" s="9"/>
    </row>
    <row r="659" ht="15.75" customHeight="1">
      <c r="S659" s="9"/>
    </row>
    <row r="660" ht="15.75" customHeight="1">
      <c r="S660" s="9"/>
    </row>
    <row r="661" ht="15.75" customHeight="1">
      <c r="S661" s="9"/>
    </row>
    <row r="662" ht="15.75" customHeight="1">
      <c r="S662" s="9"/>
    </row>
    <row r="663" ht="15.75" customHeight="1">
      <c r="S663" s="9"/>
    </row>
    <row r="664" ht="15.75" customHeight="1">
      <c r="S664" s="9"/>
    </row>
    <row r="665" ht="15.75" customHeight="1">
      <c r="S665" s="9"/>
    </row>
    <row r="666" ht="15.75" customHeight="1">
      <c r="S666" s="9"/>
    </row>
    <row r="667" ht="15.75" customHeight="1">
      <c r="S667" s="9"/>
    </row>
    <row r="668" ht="15.75" customHeight="1">
      <c r="S668" s="9"/>
    </row>
    <row r="669" ht="15.75" customHeight="1">
      <c r="S669" s="9"/>
    </row>
    <row r="670" ht="15.75" customHeight="1">
      <c r="S670" s="9"/>
    </row>
    <row r="671" ht="15.75" customHeight="1">
      <c r="S671" s="9"/>
    </row>
    <row r="672" ht="15.75" customHeight="1">
      <c r="S672" s="9"/>
    </row>
    <row r="673" ht="15.75" customHeight="1">
      <c r="S673" s="9"/>
    </row>
    <row r="674" ht="15.75" customHeight="1">
      <c r="S674" s="9"/>
    </row>
    <row r="675" ht="15.75" customHeight="1">
      <c r="S675" s="9"/>
    </row>
    <row r="676" ht="15.75" customHeight="1">
      <c r="S676" s="9"/>
    </row>
    <row r="677" ht="15.75" customHeight="1">
      <c r="S677" s="9"/>
    </row>
    <row r="678" ht="15.75" customHeight="1">
      <c r="S678" s="9"/>
    </row>
    <row r="679" ht="15.75" customHeight="1">
      <c r="S679" s="9"/>
    </row>
    <row r="680" ht="15.75" customHeight="1">
      <c r="S680" s="9"/>
    </row>
    <row r="681" ht="15.75" customHeight="1">
      <c r="S681" s="9"/>
    </row>
    <row r="682" ht="15.75" customHeight="1">
      <c r="S682" s="9"/>
    </row>
    <row r="683" ht="15.75" customHeight="1">
      <c r="S683" s="9"/>
    </row>
    <row r="684" ht="15.75" customHeight="1">
      <c r="S684" s="9"/>
    </row>
    <row r="685" ht="15.75" customHeight="1">
      <c r="S685" s="9"/>
    </row>
    <row r="686" ht="15.75" customHeight="1">
      <c r="S686" s="9"/>
    </row>
    <row r="687" ht="15.75" customHeight="1">
      <c r="S687" s="9"/>
    </row>
    <row r="688" ht="15.75" customHeight="1">
      <c r="S688" s="9"/>
    </row>
    <row r="689" ht="15.75" customHeight="1">
      <c r="S689" s="9"/>
    </row>
    <row r="690" ht="15.75" customHeight="1">
      <c r="S690" s="9"/>
    </row>
    <row r="691" ht="15.75" customHeight="1">
      <c r="S691" s="9"/>
    </row>
    <row r="692" ht="15.75" customHeight="1">
      <c r="S692" s="9"/>
    </row>
    <row r="693" ht="15.75" customHeight="1">
      <c r="S693" s="9"/>
    </row>
    <row r="694" ht="15.75" customHeight="1">
      <c r="S694" s="9"/>
    </row>
    <row r="695" ht="15.75" customHeight="1">
      <c r="S695" s="9"/>
    </row>
    <row r="696" ht="15.75" customHeight="1">
      <c r="S696" s="9"/>
    </row>
    <row r="697" ht="15.75" customHeight="1">
      <c r="S697" s="9"/>
    </row>
    <row r="698" ht="15.75" customHeight="1">
      <c r="S698" s="9"/>
    </row>
    <row r="699" ht="15.75" customHeight="1">
      <c r="S699" s="9"/>
    </row>
    <row r="700" ht="15.75" customHeight="1">
      <c r="S700" s="9"/>
    </row>
    <row r="701" ht="15.75" customHeight="1">
      <c r="S701" s="9"/>
    </row>
    <row r="702" ht="15.75" customHeight="1">
      <c r="S702" s="9"/>
    </row>
    <row r="703" ht="15.75" customHeight="1">
      <c r="S703" s="9"/>
    </row>
    <row r="704" ht="15.75" customHeight="1">
      <c r="S704" s="9"/>
    </row>
    <row r="705" ht="15.75" customHeight="1">
      <c r="S705" s="9"/>
    </row>
    <row r="706" ht="15.75" customHeight="1">
      <c r="S706" s="9"/>
    </row>
    <row r="707" ht="15.75" customHeight="1">
      <c r="S707" s="9"/>
    </row>
    <row r="708" ht="15.75" customHeight="1">
      <c r="S708" s="9"/>
    </row>
    <row r="709" ht="15.75" customHeight="1">
      <c r="S709" s="9"/>
    </row>
    <row r="710" ht="15.75" customHeight="1">
      <c r="S710" s="9"/>
    </row>
    <row r="711" ht="15.75" customHeight="1">
      <c r="S711" s="9"/>
    </row>
    <row r="712" ht="15.75" customHeight="1">
      <c r="S712" s="9"/>
    </row>
    <row r="713" ht="15.75" customHeight="1">
      <c r="S713" s="9"/>
    </row>
    <row r="714" ht="15.75" customHeight="1">
      <c r="S714" s="9"/>
    </row>
    <row r="715" ht="15.75" customHeight="1">
      <c r="S715" s="9"/>
    </row>
    <row r="716" ht="15.75" customHeight="1">
      <c r="S716" s="9"/>
    </row>
    <row r="717" ht="15.75" customHeight="1">
      <c r="S717" s="9"/>
    </row>
    <row r="718" ht="15.75" customHeight="1">
      <c r="S718" s="9"/>
    </row>
    <row r="719" ht="15.75" customHeight="1">
      <c r="S719" s="9"/>
    </row>
    <row r="720" ht="15.75" customHeight="1">
      <c r="S720" s="9"/>
    </row>
    <row r="721" ht="15.75" customHeight="1">
      <c r="S721" s="9"/>
    </row>
    <row r="722" ht="15.75" customHeight="1">
      <c r="S722" s="9"/>
    </row>
    <row r="723" ht="15.75" customHeight="1">
      <c r="S723" s="9"/>
    </row>
    <row r="724" ht="15.75" customHeight="1">
      <c r="S724" s="9"/>
    </row>
    <row r="725" ht="15.75" customHeight="1">
      <c r="S725" s="9"/>
    </row>
    <row r="726" ht="15.75" customHeight="1">
      <c r="S726" s="9"/>
    </row>
    <row r="727" ht="15.75" customHeight="1">
      <c r="S727" s="9"/>
    </row>
    <row r="728" ht="15.75" customHeight="1">
      <c r="S728" s="9"/>
    </row>
    <row r="729" ht="15.75" customHeight="1">
      <c r="S729" s="9"/>
    </row>
    <row r="730" ht="15.75" customHeight="1">
      <c r="S730" s="9"/>
    </row>
    <row r="731" ht="15.75" customHeight="1">
      <c r="S731" s="9"/>
    </row>
    <row r="732" ht="15.75" customHeight="1">
      <c r="S732" s="9"/>
    </row>
    <row r="733" ht="15.75" customHeight="1">
      <c r="S733" s="9"/>
    </row>
    <row r="734" ht="15.75" customHeight="1">
      <c r="S734" s="9"/>
    </row>
    <row r="735" ht="15.75" customHeight="1">
      <c r="S735" s="9"/>
    </row>
    <row r="736" ht="15.75" customHeight="1">
      <c r="S736" s="9"/>
    </row>
    <row r="737" ht="15.75" customHeight="1">
      <c r="S737" s="9"/>
    </row>
    <row r="738" ht="15.75" customHeight="1">
      <c r="S738" s="9"/>
    </row>
    <row r="739" ht="15.75" customHeight="1">
      <c r="S739" s="9"/>
    </row>
    <row r="740" ht="15.75" customHeight="1">
      <c r="S740" s="9"/>
    </row>
    <row r="741" ht="15.75" customHeight="1">
      <c r="S741" s="9"/>
    </row>
    <row r="742" ht="15.75" customHeight="1">
      <c r="S742" s="9"/>
    </row>
    <row r="743" ht="15.75" customHeight="1">
      <c r="S743" s="9"/>
    </row>
    <row r="744" ht="15.75" customHeight="1">
      <c r="S744" s="9"/>
    </row>
    <row r="745" ht="15.75" customHeight="1">
      <c r="S745" s="9"/>
    </row>
    <row r="746" ht="15.75" customHeight="1">
      <c r="S746" s="9"/>
    </row>
    <row r="747" ht="15.75" customHeight="1">
      <c r="S747" s="9"/>
    </row>
    <row r="748" ht="15.75" customHeight="1">
      <c r="S748" s="9"/>
    </row>
    <row r="749" ht="15.75" customHeight="1">
      <c r="S749" s="9"/>
    </row>
    <row r="750" ht="15.75" customHeight="1">
      <c r="S750" s="9"/>
    </row>
    <row r="751" ht="15.75" customHeight="1">
      <c r="S751" s="9"/>
    </row>
    <row r="752" ht="15.75" customHeight="1">
      <c r="S752" s="9"/>
    </row>
    <row r="753" ht="15.75" customHeight="1">
      <c r="S753" s="9"/>
    </row>
    <row r="754" ht="15.75" customHeight="1">
      <c r="S754" s="9"/>
    </row>
    <row r="755" ht="15.75" customHeight="1">
      <c r="S755" s="9"/>
    </row>
    <row r="756" ht="15.75" customHeight="1">
      <c r="S756" s="9"/>
    </row>
    <row r="757" ht="15.75" customHeight="1">
      <c r="S757" s="9"/>
    </row>
    <row r="758" ht="15.75" customHeight="1">
      <c r="S758" s="9"/>
    </row>
    <row r="759" ht="15.75" customHeight="1">
      <c r="S759" s="9"/>
    </row>
    <row r="760" ht="15.75" customHeight="1">
      <c r="S760" s="9"/>
    </row>
    <row r="761" ht="15.75" customHeight="1">
      <c r="S761" s="9"/>
    </row>
    <row r="762" ht="15.75" customHeight="1">
      <c r="S762" s="9"/>
    </row>
    <row r="763" ht="15.75" customHeight="1">
      <c r="S763" s="9"/>
    </row>
    <row r="764" ht="15.75" customHeight="1">
      <c r="S764" s="9"/>
    </row>
    <row r="765" ht="15.75" customHeight="1">
      <c r="S765" s="9"/>
    </row>
    <row r="766" ht="15.75" customHeight="1">
      <c r="S766" s="9"/>
    </row>
    <row r="767" ht="15.75" customHeight="1">
      <c r="S767" s="9"/>
    </row>
    <row r="768" ht="15.75" customHeight="1">
      <c r="S768" s="9"/>
    </row>
    <row r="769" ht="15.75" customHeight="1">
      <c r="S769" s="9"/>
    </row>
    <row r="770" ht="15.75" customHeight="1">
      <c r="S770" s="9"/>
    </row>
    <row r="771" ht="15.75" customHeight="1">
      <c r="S771" s="9"/>
    </row>
    <row r="772" ht="15.75" customHeight="1">
      <c r="S772" s="9"/>
    </row>
    <row r="773" ht="15.75" customHeight="1">
      <c r="S773" s="9"/>
    </row>
    <row r="774" ht="15.75" customHeight="1">
      <c r="S774" s="9"/>
    </row>
    <row r="775" ht="15.75" customHeight="1">
      <c r="S775" s="9"/>
    </row>
    <row r="776" ht="15.75" customHeight="1">
      <c r="S776" s="9"/>
    </row>
    <row r="777" ht="15.75" customHeight="1">
      <c r="S777" s="9"/>
    </row>
    <row r="778" ht="15.75" customHeight="1">
      <c r="S778" s="9"/>
    </row>
    <row r="779" ht="15.75" customHeight="1">
      <c r="S779" s="9"/>
    </row>
    <row r="780" ht="15.75" customHeight="1">
      <c r="S780" s="9"/>
    </row>
    <row r="781" ht="15.75" customHeight="1">
      <c r="S781" s="9"/>
    </row>
    <row r="782" ht="15.75" customHeight="1">
      <c r="S782" s="9"/>
    </row>
    <row r="783" ht="15.75" customHeight="1">
      <c r="S783" s="9"/>
    </row>
    <row r="784" ht="15.75" customHeight="1">
      <c r="S784" s="9"/>
    </row>
    <row r="785" ht="15.75" customHeight="1">
      <c r="S785" s="9"/>
    </row>
    <row r="786" ht="15.75" customHeight="1">
      <c r="S786" s="9"/>
    </row>
    <row r="787" ht="15.75" customHeight="1">
      <c r="S787" s="9"/>
    </row>
    <row r="788" ht="15.75" customHeight="1">
      <c r="S788" s="9"/>
    </row>
    <row r="789" ht="15.75" customHeight="1">
      <c r="S789" s="9"/>
    </row>
    <row r="790" ht="15.75" customHeight="1">
      <c r="S790" s="9"/>
    </row>
    <row r="791" ht="15.75" customHeight="1">
      <c r="S791" s="9"/>
    </row>
    <row r="792" ht="15.75" customHeight="1">
      <c r="S792" s="9"/>
    </row>
    <row r="793" ht="15.75" customHeight="1">
      <c r="S793" s="9"/>
    </row>
    <row r="794" ht="15.75" customHeight="1">
      <c r="S794" s="9"/>
    </row>
    <row r="795" ht="15.75" customHeight="1">
      <c r="S795" s="9"/>
    </row>
    <row r="796" ht="15.75" customHeight="1">
      <c r="S796" s="9"/>
    </row>
    <row r="797" ht="15.75" customHeight="1">
      <c r="S797" s="9"/>
    </row>
    <row r="798" ht="15.75" customHeight="1">
      <c r="S798" s="9"/>
    </row>
    <row r="799" ht="15.75" customHeight="1">
      <c r="S799" s="9"/>
    </row>
    <row r="800" ht="15.75" customHeight="1">
      <c r="S800" s="9"/>
    </row>
    <row r="801" ht="15.75" customHeight="1">
      <c r="S801" s="9"/>
    </row>
    <row r="802" ht="15.75" customHeight="1">
      <c r="S802" s="9"/>
    </row>
    <row r="803" ht="15.75" customHeight="1">
      <c r="S803" s="9"/>
    </row>
    <row r="804" ht="15.75" customHeight="1">
      <c r="S804" s="9"/>
    </row>
    <row r="805" ht="15.75" customHeight="1">
      <c r="S805" s="9"/>
    </row>
    <row r="806" ht="15.75" customHeight="1">
      <c r="S806" s="9"/>
    </row>
    <row r="807" ht="15.75" customHeight="1">
      <c r="S807" s="9"/>
    </row>
    <row r="808" ht="15.75" customHeight="1">
      <c r="S808" s="9"/>
    </row>
    <row r="809" ht="15.75" customHeight="1">
      <c r="S809" s="9"/>
    </row>
    <row r="810" ht="15.75" customHeight="1">
      <c r="S810" s="9"/>
    </row>
    <row r="811" ht="15.75" customHeight="1">
      <c r="S811" s="9"/>
    </row>
    <row r="812" ht="15.75" customHeight="1">
      <c r="S812" s="9"/>
    </row>
    <row r="813" ht="15.75" customHeight="1">
      <c r="S813" s="9"/>
    </row>
    <row r="814" ht="15.75" customHeight="1">
      <c r="S814" s="9"/>
    </row>
    <row r="815" ht="15.75" customHeight="1">
      <c r="S815" s="9"/>
    </row>
    <row r="816" ht="15.75" customHeight="1">
      <c r="S816" s="9"/>
    </row>
    <row r="817" ht="15.75" customHeight="1">
      <c r="S817" s="9"/>
    </row>
    <row r="818" ht="15.75" customHeight="1">
      <c r="S818" s="9"/>
    </row>
    <row r="819" ht="15.75" customHeight="1">
      <c r="S819" s="9"/>
    </row>
    <row r="820" ht="15.75" customHeight="1">
      <c r="S820" s="9"/>
    </row>
    <row r="821" ht="15.75" customHeight="1">
      <c r="S821" s="9"/>
    </row>
    <row r="822" ht="15.75" customHeight="1">
      <c r="S822" s="9"/>
    </row>
    <row r="823" ht="15.75" customHeight="1">
      <c r="S823" s="9"/>
    </row>
    <row r="824" ht="15.75" customHeight="1">
      <c r="S824" s="9"/>
    </row>
    <row r="825" ht="15.75" customHeight="1">
      <c r="S825" s="9"/>
    </row>
    <row r="826" ht="15.75" customHeight="1">
      <c r="S826" s="9"/>
    </row>
    <row r="827" ht="15.75" customHeight="1">
      <c r="S827" s="9"/>
    </row>
    <row r="828" ht="15.75" customHeight="1">
      <c r="S828" s="9"/>
    </row>
    <row r="829" ht="15.75" customHeight="1">
      <c r="S829" s="9"/>
    </row>
    <row r="830" ht="15.75" customHeight="1">
      <c r="S830" s="9"/>
    </row>
    <row r="831" ht="15.75" customHeight="1">
      <c r="S831" s="9"/>
    </row>
    <row r="832" ht="15.75" customHeight="1">
      <c r="S832" s="9"/>
    </row>
    <row r="833" ht="15.75" customHeight="1">
      <c r="S833" s="9"/>
    </row>
    <row r="834" ht="15.75" customHeight="1">
      <c r="S834" s="9"/>
    </row>
    <row r="835" ht="15.75" customHeight="1">
      <c r="S835" s="9"/>
    </row>
    <row r="836" ht="15.75" customHeight="1">
      <c r="S836" s="9"/>
    </row>
    <row r="837" ht="15.75" customHeight="1">
      <c r="S837" s="9"/>
    </row>
    <row r="838" ht="15.75" customHeight="1">
      <c r="S838" s="9"/>
    </row>
    <row r="839" ht="15.75" customHeight="1">
      <c r="S839" s="9"/>
    </row>
    <row r="840" ht="15.75" customHeight="1">
      <c r="S840" s="9"/>
    </row>
    <row r="841" ht="15.75" customHeight="1">
      <c r="S841" s="9"/>
    </row>
    <row r="842" ht="15.75" customHeight="1">
      <c r="S842" s="9"/>
    </row>
    <row r="843" ht="15.75" customHeight="1">
      <c r="S843" s="9"/>
    </row>
    <row r="844" ht="15.75" customHeight="1">
      <c r="S844" s="9"/>
    </row>
    <row r="845" ht="15.75" customHeight="1">
      <c r="S845" s="9"/>
    </row>
    <row r="846" ht="15.75" customHeight="1">
      <c r="S846" s="9"/>
    </row>
    <row r="847" ht="15.75" customHeight="1">
      <c r="S847" s="9"/>
    </row>
    <row r="848" ht="15.75" customHeight="1">
      <c r="S848" s="9"/>
    </row>
    <row r="849" ht="15.75" customHeight="1">
      <c r="S849" s="9"/>
    </row>
    <row r="850" ht="15.75" customHeight="1">
      <c r="S850" s="9"/>
    </row>
    <row r="851" ht="15.75" customHeight="1">
      <c r="S851" s="9"/>
    </row>
    <row r="852" ht="15.75" customHeight="1">
      <c r="S852" s="9"/>
    </row>
    <row r="853" ht="15.75" customHeight="1">
      <c r="S853" s="9"/>
    </row>
    <row r="854" ht="15.75" customHeight="1">
      <c r="S854" s="9"/>
    </row>
    <row r="855" ht="15.75" customHeight="1">
      <c r="S855" s="9"/>
    </row>
    <row r="856" ht="15.75" customHeight="1">
      <c r="S856" s="9"/>
    </row>
    <row r="857" ht="15.75" customHeight="1">
      <c r="S857" s="9"/>
    </row>
    <row r="858" ht="15.75" customHeight="1">
      <c r="S858" s="9"/>
    </row>
    <row r="859" ht="15.75" customHeight="1">
      <c r="S859" s="9"/>
    </row>
    <row r="860" ht="15.75" customHeight="1">
      <c r="S860" s="9"/>
    </row>
    <row r="861" ht="15.75" customHeight="1">
      <c r="S861" s="9"/>
    </row>
    <row r="862" ht="15.75" customHeight="1">
      <c r="S862" s="9"/>
    </row>
    <row r="863" ht="15.75" customHeight="1">
      <c r="S863" s="9"/>
    </row>
    <row r="864" ht="15.75" customHeight="1">
      <c r="S864" s="9"/>
    </row>
    <row r="865" ht="15.75" customHeight="1">
      <c r="S865" s="9"/>
    </row>
    <row r="866" ht="15.75" customHeight="1">
      <c r="S866" s="9"/>
    </row>
    <row r="867" ht="15.75" customHeight="1">
      <c r="S867" s="9"/>
    </row>
    <row r="868" ht="15.75" customHeight="1">
      <c r="S868" s="9"/>
    </row>
    <row r="869" ht="15.75" customHeight="1">
      <c r="S869" s="9"/>
    </row>
    <row r="870" ht="15.75" customHeight="1">
      <c r="S870" s="9"/>
    </row>
    <row r="871" ht="15.75" customHeight="1">
      <c r="S871" s="9"/>
    </row>
    <row r="872" ht="15.75" customHeight="1">
      <c r="S872" s="9"/>
    </row>
    <row r="873" ht="15.75" customHeight="1">
      <c r="S873" s="9"/>
    </row>
    <row r="874" ht="15.75" customHeight="1">
      <c r="S874" s="9"/>
    </row>
    <row r="875" ht="15.75" customHeight="1">
      <c r="S875" s="9"/>
    </row>
    <row r="876" ht="15.75" customHeight="1">
      <c r="S876" s="9"/>
    </row>
    <row r="877" ht="15.75" customHeight="1">
      <c r="S877" s="9"/>
    </row>
    <row r="878" ht="15.75" customHeight="1">
      <c r="S878" s="9"/>
    </row>
    <row r="879" ht="15.75" customHeight="1">
      <c r="S879" s="9"/>
    </row>
    <row r="880" ht="15.75" customHeight="1">
      <c r="S880" s="9"/>
    </row>
    <row r="881" ht="15.75" customHeight="1">
      <c r="S881" s="9"/>
    </row>
    <row r="882" ht="15.75" customHeight="1">
      <c r="S882" s="9"/>
    </row>
    <row r="883" ht="15.75" customHeight="1">
      <c r="S883" s="9"/>
    </row>
    <row r="884" ht="15.75" customHeight="1">
      <c r="S884" s="9"/>
    </row>
    <row r="885" ht="15.75" customHeight="1">
      <c r="S885" s="9"/>
    </row>
    <row r="886" ht="15.75" customHeight="1">
      <c r="S886" s="9"/>
    </row>
    <row r="887" ht="15.75" customHeight="1">
      <c r="S887" s="9"/>
    </row>
    <row r="888" ht="15.75" customHeight="1">
      <c r="S888" s="9"/>
    </row>
    <row r="889" ht="15.75" customHeight="1">
      <c r="S889" s="9"/>
    </row>
    <row r="890" ht="15.75" customHeight="1">
      <c r="S890" s="9"/>
    </row>
    <row r="891" ht="15.75" customHeight="1">
      <c r="S891" s="9"/>
    </row>
    <row r="892" ht="15.75" customHeight="1">
      <c r="S892" s="9"/>
    </row>
    <row r="893" ht="15.75" customHeight="1">
      <c r="S893" s="9"/>
    </row>
    <row r="894" ht="15.75" customHeight="1">
      <c r="S894" s="9"/>
    </row>
    <row r="895" ht="15.75" customHeight="1">
      <c r="S895" s="9"/>
    </row>
    <row r="896" ht="15.75" customHeight="1">
      <c r="S896" s="9"/>
    </row>
    <row r="897" ht="15.75" customHeight="1">
      <c r="S897" s="9"/>
    </row>
    <row r="898" ht="15.75" customHeight="1">
      <c r="S898" s="9"/>
    </row>
    <row r="899" ht="15.75" customHeight="1">
      <c r="S899" s="9"/>
    </row>
    <row r="900" ht="15.75" customHeight="1">
      <c r="S900" s="9"/>
    </row>
    <row r="901" ht="15.75" customHeight="1">
      <c r="S901" s="9"/>
    </row>
    <row r="902" ht="15.75" customHeight="1">
      <c r="S902" s="9"/>
    </row>
    <row r="903" ht="15.75" customHeight="1">
      <c r="S903" s="9"/>
    </row>
    <row r="904" ht="15.75" customHeight="1">
      <c r="S904" s="9"/>
    </row>
    <row r="905" ht="15.75" customHeight="1">
      <c r="S905" s="9"/>
    </row>
    <row r="906" ht="15.75" customHeight="1">
      <c r="S906" s="9"/>
    </row>
    <row r="907" ht="15.75" customHeight="1">
      <c r="S907" s="9"/>
    </row>
    <row r="908" ht="15.75" customHeight="1">
      <c r="S908" s="9"/>
    </row>
    <row r="909" ht="15.75" customHeight="1">
      <c r="S909" s="9"/>
    </row>
    <row r="910" ht="15.75" customHeight="1">
      <c r="S910" s="9"/>
    </row>
    <row r="911" ht="15.75" customHeight="1">
      <c r="S911" s="9"/>
    </row>
    <row r="912" ht="15.75" customHeight="1">
      <c r="S912" s="9"/>
    </row>
    <row r="913" ht="15.75" customHeight="1">
      <c r="S913" s="9"/>
    </row>
    <row r="914" ht="15.75" customHeight="1">
      <c r="S914" s="9"/>
    </row>
    <row r="915" ht="15.75" customHeight="1">
      <c r="S915" s="9"/>
    </row>
    <row r="916" ht="15.75" customHeight="1">
      <c r="S916" s="9"/>
    </row>
    <row r="917" ht="15.75" customHeight="1">
      <c r="S917" s="9"/>
    </row>
    <row r="918" ht="15.75" customHeight="1">
      <c r="S918" s="9"/>
    </row>
    <row r="919" ht="15.75" customHeight="1">
      <c r="S919" s="9"/>
    </row>
    <row r="920" ht="15.75" customHeight="1">
      <c r="S920" s="9"/>
    </row>
    <row r="921" ht="15.75" customHeight="1">
      <c r="S921" s="9"/>
    </row>
    <row r="922" ht="15.75" customHeight="1">
      <c r="S922" s="9"/>
    </row>
    <row r="923" ht="15.75" customHeight="1">
      <c r="S923" s="9"/>
    </row>
    <row r="924" ht="15.75" customHeight="1">
      <c r="S924" s="9"/>
    </row>
    <row r="925" ht="15.75" customHeight="1">
      <c r="S925" s="9"/>
    </row>
    <row r="926" ht="15.75" customHeight="1">
      <c r="S926" s="9"/>
    </row>
    <row r="927" ht="15.75" customHeight="1">
      <c r="S927" s="9"/>
    </row>
    <row r="928" ht="15.75" customHeight="1">
      <c r="S928" s="9"/>
    </row>
    <row r="929" ht="15.75" customHeight="1">
      <c r="S929" s="9"/>
    </row>
    <row r="930" ht="15.75" customHeight="1">
      <c r="S930" s="9"/>
    </row>
    <row r="931" ht="15.75" customHeight="1">
      <c r="S931" s="9"/>
    </row>
    <row r="932" ht="15.75" customHeight="1">
      <c r="S932" s="9"/>
    </row>
    <row r="933" ht="15.75" customHeight="1">
      <c r="S933" s="9"/>
    </row>
    <row r="934" ht="15.75" customHeight="1">
      <c r="S934" s="9"/>
    </row>
    <row r="935" ht="15.75" customHeight="1">
      <c r="S935" s="9"/>
    </row>
    <row r="936" ht="15.75" customHeight="1">
      <c r="S936" s="9"/>
    </row>
    <row r="937" ht="15.75" customHeight="1">
      <c r="S937" s="9"/>
    </row>
    <row r="938" ht="15.75" customHeight="1">
      <c r="S938" s="9"/>
    </row>
    <row r="939" ht="15.75" customHeight="1">
      <c r="S939" s="9"/>
    </row>
    <row r="940" ht="15.75" customHeight="1">
      <c r="S940" s="9"/>
    </row>
    <row r="941" ht="15.75" customHeight="1">
      <c r="S941" s="9"/>
    </row>
    <row r="942" ht="15.75" customHeight="1">
      <c r="S942" s="9"/>
    </row>
    <row r="943" ht="15.75" customHeight="1">
      <c r="S943" s="9"/>
    </row>
    <row r="944" ht="15.75" customHeight="1">
      <c r="S944" s="9"/>
    </row>
    <row r="945" ht="15.75" customHeight="1">
      <c r="S945" s="9"/>
    </row>
    <row r="946" ht="15.75" customHeight="1">
      <c r="S946" s="9"/>
    </row>
    <row r="947" ht="15.75" customHeight="1">
      <c r="S947" s="9"/>
    </row>
    <row r="948" ht="15.75" customHeight="1">
      <c r="S948" s="9"/>
    </row>
    <row r="949" ht="15.75" customHeight="1">
      <c r="S949" s="9"/>
    </row>
    <row r="950" ht="15.75" customHeight="1">
      <c r="S950" s="9"/>
    </row>
    <row r="951" ht="15.75" customHeight="1">
      <c r="S951" s="9"/>
    </row>
    <row r="952" ht="15.75" customHeight="1">
      <c r="S952" s="9"/>
    </row>
    <row r="953" ht="15.75" customHeight="1">
      <c r="S953" s="9"/>
    </row>
    <row r="954" ht="15.75" customHeight="1">
      <c r="S954" s="9"/>
    </row>
    <row r="955" ht="15.75" customHeight="1">
      <c r="S955" s="9"/>
    </row>
    <row r="956" ht="15.75" customHeight="1">
      <c r="S956" s="9"/>
    </row>
    <row r="957" ht="15.75" customHeight="1">
      <c r="S957" s="9"/>
    </row>
    <row r="958" ht="15.75" customHeight="1">
      <c r="S958" s="9"/>
    </row>
    <row r="959" ht="15.75" customHeight="1">
      <c r="S959" s="9"/>
    </row>
    <row r="960" ht="15.75" customHeight="1">
      <c r="S960" s="9"/>
    </row>
    <row r="961" ht="15.75" customHeight="1">
      <c r="S961" s="9"/>
    </row>
    <row r="962" ht="15.75" customHeight="1">
      <c r="S962" s="9"/>
    </row>
    <row r="963" ht="15.75" customHeight="1">
      <c r="S963" s="9"/>
    </row>
    <row r="964" ht="15.75" customHeight="1">
      <c r="S964" s="9"/>
    </row>
    <row r="965" ht="15.75" customHeight="1">
      <c r="S965" s="9"/>
    </row>
    <row r="966" ht="15.75" customHeight="1">
      <c r="S966" s="9"/>
    </row>
    <row r="967" ht="15.75" customHeight="1">
      <c r="S967" s="9"/>
    </row>
    <row r="968" ht="15.75" customHeight="1">
      <c r="S968" s="9"/>
    </row>
    <row r="969" ht="15.75" customHeight="1">
      <c r="S969" s="9"/>
    </row>
    <row r="970" ht="15.75" customHeight="1">
      <c r="S970" s="9"/>
    </row>
    <row r="971" ht="15.75" customHeight="1">
      <c r="S971" s="9"/>
    </row>
    <row r="972" ht="15.75" customHeight="1">
      <c r="S972" s="9"/>
    </row>
    <row r="973" ht="15.75" customHeight="1">
      <c r="S973" s="9"/>
    </row>
    <row r="974" ht="15.75" customHeight="1">
      <c r="S974" s="9"/>
    </row>
    <row r="975" ht="15.75" customHeight="1">
      <c r="S975" s="9"/>
    </row>
    <row r="976" ht="15.75" customHeight="1">
      <c r="S976" s="9"/>
    </row>
    <row r="977" ht="15.75" customHeight="1">
      <c r="S977" s="9"/>
    </row>
    <row r="978" ht="15.75" customHeight="1">
      <c r="S978" s="9"/>
    </row>
    <row r="979" ht="15.75" customHeight="1">
      <c r="S979" s="9"/>
    </row>
    <row r="980" ht="15.75" customHeight="1">
      <c r="S980" s="9"/>
    </row>
    <row r="981" ht="15.75" customHeight="1">
      <c r="S981" s="9"/>
    </row>
    <row r="982" ht="15.75" customHeight="1">
      <c r="S982" s="9"/>
    </row>
    <row r="983" ht="15.75" customHeight="1">
      <c r="S983" s="9"/>
    </row>
    <row r="984" ht="15.75" customHeight="1">
      <c r="S984" s="9"/>
    </row>
    <row r="985" ht="15.75" customHeight="1">
      <c r="S985" s="9"/>
    </row>
    <row r="986" ht="15.75" customHeight="1">
      <c r="S986" s="9"/>
    </row>
    <row r="987" ht="15.75" customHeight="1">
      <c r="S987" s="9"/>
    </row>
    <row r="988" ht="15.75" customHeight="1">
      <c r="S988" s="9"/>
    </row>
    <row r="989" ht="15.75" customHeight="1">
      <c r="S989" s="9"/>
    </row>
    <row r="990" ht="15.75" customHeight="1">
      <c r="S990" s="9"/>
    </row>
    <row r="991" ht="15.75" customHeight="1">
      <c r="S991" s="9"/>
    </row>
    <row r="992" ht="15.75" customHeight="1">
      <c r="S992" s="9"/>
    </row>
    <row r="993" ht="15.75" customHeight="1">
      <c r="S993" s="9"/>
    </row>
    <row r="994" ht="15.75" customHeight="1">
      <c r="S994" s="9"/>
    </row>
    <row r="995" ht="15.75" customHeight="1">
      <c r="S995" s="9"/>
    </row>
    <row r="996" ht="15.75" customHeight="1">
      <c r="S996" s="9"/>
    </row>
    <row r="997" ht="15.75" customHeight="1">
      <c r="S997" s="9"/>
    </row>
    <row r="998" ht="15.75" customHeight="1">
      <c r="S998" s="9"/>
    </row>
    <row r="999" ht="15.75" customHeight="1">
      <c r="S999" s="9"/>
    </row>
    <row r="1000" ht="15.75" customHeight="1">
      <c r="S1000" s="9"/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